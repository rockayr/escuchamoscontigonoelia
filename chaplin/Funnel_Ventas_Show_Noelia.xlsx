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ockayr\escuchamoscontigonoelia\chaplin\"/>
    </mc:Choice>
  </mc:AlternateContent>
  <xr:revisionPtr revIDLastSave="0" documentId="13_ncr:2001_{7173DD44-6A90-4449-BC7D-E365A848A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nel Ventas Show" sheetId="1" r:id="rId1"/>
    <sheet name="Hoja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/>
  <c r="J63" i="1"/>
  <c r="J48" i="1"/>
  <c r="J35" i="1"/>
  <c r="J34" i="1"/>
  <c r="J30" i="1"/>
  <c r="J29" i="1"/>
  <c r="J44" i="1"/>
  <c r="J45" i="1"/>
  <c r="J25" i="1"/>
  <c r="J67" i="1"/>
  <c r="J26" i="1"/>
  <c r="J53" i="1"/>
  <c r="J43" i="1"/>
  <c r="J22" i="1"/>
  <c r="J23" i="1"/>
  <c r="J24" i="1"/>
  <c r="J15" i="1"/>
  <c r="J4" i="1"/>
  <c r="J5" i="1"/>
  <c r="J6" i="1"/>
  <c r="J7" i="1"/>
  <c r="J8" i="1"/>
  <c r="J42" i="1"/>
  <c r="J49" i="1"/>
  <c r="J10" i="1"/>
  <c r="J11" i="1"/>
  <c r="J33" i="1"/>
  <c r="J47" i="1"/>
  <c r="J41" i="1"/>
  <c r="J78" i="1"/>
  <c r="J54" i="1"/>
  <c r="J18" i="1"/>
  <c r="J59" i="1"/>
  <c r="J19" i="1"/>
  <c r="J60" i="1"/>
  <c r="J27" i="1"/>
  <c r="J14" i="1"/>
  <c r="J32" i="1"/>
  <c r="J57" i="1"/>
  <c r="J55" i="1"/>
  <c r="J61" i="1"/>
  <c r="J52" i="1"/>
  <c r="J65" i="1"/>
  <c r="J20" i="1"/>
  <c r="J69" i="1"/>
  <c r="J50" i="1"/>
  <c r="J51" i="1"/>
  <c r="J37" i="1"/>
  <c r="J70" i="1"/>
  <c r="J71" i="1"/>
  <c r="J16" i="1"/>
  <c r="J36" i="1"/>
  <c r="J31" i="1"/>
  <c r="J66" i="1"/>
  <c r="J39" i="1"/>
  <c r="J9" i="1"/>
  <c r="J72" i="1"/>
  <c r="J56" i="1"/>
  <c r="J40" i="1"/>
  <c r="J62" i="1"/>
  <c r="J13" i="1"/>
  <c r="J58" i="1"/>
  <c r="J17" i="1"/>
  <c r="J46" i="1"/>
  <c r="J68" i="1"/>
  <c r="J28" i="1"/>
  <c r="J73" i="1"/>
  <c r="J74" i="1"/>
  <c r="J75" i="1"/>
  <c r="J76" i="1"/>
  <c r="J77" i="1"/>
  <c r="J21" i="1"/>
  <c r="J79" i="1"/>
  <c r="J38" i="1"/>
  <c r="J12" i="1"/>
</calcChain>
</file>

<file path=xl/sharedStrings.xml><?xml version="1.0" encoding="utf-8"?>
<sst xmlns="http://schemas.openxmlformats.org/spreadsheetml/2006/main" count="441" uniqueCount="156">
  <si>
    <t>Nombre</t>
  </si>
  <si>
    <t>Contacto</t>
  </si>
  <si>
    <t>Grupo / Afinidad</t>
  </si>
  <si>
    <t>Entradas Objetivo</t>
  </si>
  <si>
    <t>Entradas Vendidas</t>
  </si>
  <si>
    <t>Estado Funnel (Contactado / Interesado / Confirmado / Pagado)</t>
  </si>
  <si>
    <t>Monto Pagado (Bs)</t>
  </si>
  <si>
    <t>Método de Pago (QR / Efectivo)</t>
  </si>
  <si>
    <t>Fecha de Contacto</t>
  </si>
  <si>
    <t>Fecha de Pago</t>
  </si>
  <si>
    <t>Observaciones</t>
  </si>
  <si>
    <t>Sinchy Díaz</t>
  </si>
  <si>
    <t>MC4 Santa Cruz</t>
  </si>
  <si>
    <t>Contactado</t>
  </si>
  <si>
    <t>Puede mover equipo MC4</t>
  </si>
  <si>
    <t>Luis Barrancos y Pamela</t>
  </si>
  <si>
    <t>Javier Vaca</t>
  </si>
  <si>
    <t>Joaquina Vargas</t>
  </si>
  <si>
    <t>Vincent y el equipo de Blah</t>
  </si>
  <si>
    <t>Nueva Acrópolis</t>
  </si>
  <si>
    <t>Roberto Ventura y familia</t>
  </si>
  <si>
    <t>Marco Arámbulo</t>
  </si>
  <si>
    <t>Sebastián Putz y familia</t>
  </si>
  <si>
    <t>Martin Ascarrunz y familia</t>
  </si>
  <si>
    <t>Clarice</t>
  </si>
  <si>
    <t>Martin Hachiya</t>
  </si>
  <si>
    <t>Mariel Argani/Vannesa y amigos/familia</t>
  </si>
  <si>
    <t>Israel Zapata</t>
  </si>
  <si>
    <t>Nueva Acropolis</t>
  </si>
  <si>
    <t>Carlos Daher</t>
  </si>
  <si>
    <t>Santos Yudai/equipo</t>
  </si>
  <si>
    <t>Walfred Montero</t>
  </si>
  <si>
    <t>Unifranz</t>
  </si>
  <si>
    <t>Claudia Roca</t>
  </si>
  <si>
    <t>Kenji Kawaida</t>
  </si>
  <si>
    <t>Alejandra</t>
  </si>
  <si>
    <t>Rodrigo Zubieta y familia</t>
  </si>
  <si>
    <t>Monica Salvatierra / Familia</t>
  </si>
  <si>
    <t>Marisol Bedregal / Familia</t>
  </si>
  <si>
    <t>Claudia Ruiz / Fernando Lazarte</t>
  </si>
  <si>
    <t>Bladimir Gutierrez</t>
  </si>
  <si>
    <t>Jose Tomas Cespedes</t>
  </si>
  <si>
    <t>Alejandro</t>
  </si>
  <si>
    <t>Marcelo Alarcón</t>
  </si>
  <si>
    <t>Ana Flavia</t>
  </si>
  <si>
    <t>Miguel Angel Avendaño</t>
  </si>
  <si>
    <t>Carolina Aguilera</t>
  </si>
  <si>
    <t>Jorge Muñoz</t>
  </si>
  <si>
    <t>Bernardo Eid/ Olivia Dibos</t>
  </si>
  <si>
    <t>Manuel / Miguel Dezebal</t>
  </si>
  <si>
    <t>Sebastian Hertzog</t>
  </si>
  <si>
    <t>Toribio Ventura</t>
  </si>
  <si>
    <t>Marcos Quispe</t>
  </si>
  <si>
    <t>Maicol Ortiz</t>
  </si>
  <si>
    <t>Kimberly Saenz</t>
  </si>
  <si>
    <t>Estefania Miranda</t>
  </si>
  <si>
    <t>Ricardo Laredo</t>
  </si>
  <si>
    <t>Yanet Torrico</t>
  </si>
  <si>
    <t>Gary Robles</t>
  </si>
  <si>
    <t>Nahely</t>
  </si>
  <si>
    <t>Ana Maria</t>
  </si>
  <si>
    <t>Max Baldivierso</t>
  </si>
  <si>
    <t>Brayan Mendoza</t>
  </si>
  <si>
    <t>Brissia</t>
  </si>
  <si>
    <t>Saray</t>
  </si>
  <si>
    <t>Eduardo</t>
  </si>
  <si>
    <t>Chistian NA</t>
  </si>
  <si>
    <t>Arlena</t>
  </si>
  <si>
    <t>Freddy Perez</t>
  </si>
  <si>
    <t>Elizabeth</t>
  </si>
  <si>
    <t>Salomon</t>
  </si>
  <si>
    <t>Arnold Gandarillas</t>
  </si>
  <si>
    <t>Daniela Duran</t>
  </si>
  <si>
    <t>Pagado</t>
  </si>
  <si>
    <t>Precio</t>
  </si>
  <si>
    <t>QR</t>
  </si>
  <si>
    <t xml:space="preserve">Escuela </t>
  </si>
  <si>
    <t>Universidad</t>
  </si>
  <si>
    <t>Fernando</t>
  </si>
  <si>
    <t>Trabajo</t>
  </si>
  <si>
    <t>Va a juntar a sus amigos</t>
  </si>
  <si>
    <t>Es una pareja</t>
  </si>
  <si>
    <t>Renato Alvarez</t>
  </si>
  <si>
    <t>Renato 'Economico'</t>
  </si>
  <si>
    <t>Carmen</t>
  </si>
  <si>
    <t>Breidi Alanes</t>
  </si>
  <si>
    <t>Limberg Herbas</t>
  </si>
  <si>
    <t>Marco Chambi</t>
  </si>
  <si>
    <t>Milton Chambi</t>
  </si>
  <si>
    <t>Hilcer Noa Nuñez</t>
  </si>
  <si>
    <t>Naihara Berenice Rocha</t>
  </si>
  <si>
    <t xml:space="preserve">Angela </t>
  </si>
  <si>
    <t>Interesado</t>
  </si>
  <si>
    <t>Miguel Angel</t>
  </si>
  <si>
    <t xml:space="preserve">Belen </t>
  </si>
  <si>
    <t>Carmen Mateu</t>
  </si>
  <si>
    <t>Finalizado</t>
  </si>
  <si>
    <t>Mateo</t>
  </si>
  <si>
    <t>Tipo de Orden</t>
  </si>
  <si>
    <t>Código de Operación</t>
  </si>
  <si>
    <t>Número de Servicio</t>
  </si>
  <si>
    <t>Nombre del cliente</t>
  </si>
  <si>
    <t>Fecha de Creación</t>
  </si>
  <si>
    <t>ID de orden por lotes</t>
  </si>
  <si>
    <t>Estado</t>
  </si>
  <si>
    <t>Fecha de Estado</t>
  </si>
  <si>
    <t>Operador</t>
  </si>
  <si>
    <t>Operación</t>
  </si>
  <si>
    <t>Orden Normal</t>
  </si>
  <si>
    <t>Suscriptor Preactivo</t>
  </si>
  <si>
    <t>Completada</t>
  </si>
  <si>
    <t>Root Operator</t>
  </si>
  <si>
    <t>8959103000882510428</t>
  </si>
  <si>
    <t>62310436</t>
  </si>
  <si>
    <t>12/01/2026 11:14:07</t>
  </si>
  <si>
    <t>8959103000881648047</t>
  </si>
  <si>
    <t>62799251</t>
  </si>
  <si>
    <t>12/01/2026 11:14:12</t>
  </si>
  <si>
    <t>8959103000882510436</t>
  </si>
  <si>
    <t>75383145</t>
  </si>
  <si>
    <t>12/01/2026 11:14:14</t>
  </si>
  <si>
    <t>8959103000882510444</t>
  </si>
  <si>
    <t>76805919</t>
  </si>
  <si>
    <t>12/01/2026 11:14:22</t>
  </si>
  <si>
    <t>8959103000882510451</t>
  </si>
  <si>
    <t>75426905</t>
  </si>
  <si>
    <t>12/01/2026 11:14:28</t>
  </si>
  <si>
    <t>12/01/2026, 11:14:21</t>
  </si>
  <si>
    <t>Mar 13, 2026</t>
  </si>
  <si>
    <t>Preactivo</t>
  </si>
  <si>
    <t>12/01/2026, 11:14:01</t>
  </si>
  <si>
    <t>8959103000882510469</t>
  </si>
  <si>
    <t>75572368</t>
  </si>
  <si>
    <t>12/01/2026 11:14:32</t>
  </si>
  <si>
    <t>2/01/2026, 11:14:26</t>
  </si>
  <si>
    <t>8959103000876453478</t>
  </si>
  <si>
    <t>77814669</t>
  </si>
  <si>
    <t>12/01/2026, 11:14:26</t>
  </si>
  <si>
    <t>Apr 12, 2026</t>
  </si>
  <si>
    <t>8959103000882510477</t>
  </si>
  <si>
    <t>78208970</t>
  </si>
  <si>
    <t>12/01/2026 11:14:36</t>
  </si>
  <si>
    <t>12/01/2026, 11:14:30</t>
  </si>
  <si>
    <t>8959103000868565586</t>
  </si>
  <si>
    <t>78629213</t>
  </si>
  <si>
    <t>Marcelo Soto</t>
  </si>
  <si>
    <t>Fonseca</t>
  </si>
  <si>
    <t>Entrenamiento</t>
  </si>
  <si>
    <t>Amistad</t>
  </si>
  <si>
    <t>Vanessa Jaldin</t>
  </si>
  <si>
    <t>Familia</t>
  </si>
  <si>
    <t>Nro Mesa</t>
  </si>
  <si>
    <t>-</t>
  </si>
  <si>
    <t>Pendiente</t>
  </si>
  <si>
    <t>Ernst Drawer</t>
  </si>
  <si>
    <t>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</si>
</sst>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6F7479"/>
      <name val="Arial"/>
      <family val="2"/>
    </font>
    <font>
      <sz val="8"/>
      <color rgb="FF36383C"/>
      <name val="Arial"/>
      <family val="2"/>
    </font>
    <font>
      <sz val="8"/>
      <color rgb="FF222222"/>
      <name val="Arial"/>
      <family val="2"/>
    </font>
    <font>
      <sz val="8"/>
      <color rgb="FF666666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0" borderId="0" xfId="0" quotePrefix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4" fillId="3" borderId="0" xfId="0" applyFont="1" applyFill="1" applyAlignment="1">
      <alignment vertical="center"/>
    </xf>
    <xf numFmtId="22" fontId="4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vertical="center"/>
    </xf>
    <xf numFmtId="22" fontId="4" fillId="2" borderId="1" xfId="0" applyNumberFormat="1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0" fillId="4" borderId="0" xfId="0" quotePrefix="1" applyFill="1" applyAlignment="1">
      <alignment horizontal="left"/>
    </xf>
    <xf numFmtId="0" fontId="5" fillId="2" borderId="0" xfId="0" applyFont="1" applyFill="1" applyAlignment="1">
      <alignment horizontal="left" vertical="center" wrapText="1" indent="1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1" formatCode="d\-m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FB9C0-E751-4F04-B78B-7BCF98675A28}" name="Tabla1" displayName="Tabla1" ref="A3:M79" totalsRowShown="0">
  <autoFilter ref="A3:M79" xr:uid="{78FFB9C0-E751-4F04-B78B-7BCF98675A28}"/>
  <tableColumns count="13">
    <tableColumn id="10" xr3:uid="{4501403E-6E40-4D46-9719-4B90B6AB90D5}" name="Fecha de Contacto" dataDxfId="1"/>
    <tableColumn id="1" xr3:uid="{5FD41F14-C7BC-4F7E-8149-A24DC218924C}" name="Nombre"/>
    <tableColumn id="2" xr3:uid="{DBB7AC2F-647E-49C8-8B93-A8D6402782BF}" name="Contacto"/>
    <tableColumn id="3" xr3:uid="{574E1935-6168-413D-9115-4014A713256B}" name="Grupo / Afinidad"/>
    <tableColumn id="5" xr3:uid="{CD0868C3-7A0D-4C92-9142-444F3C6B32E2}" name="Entradas Objetivo"/>
    <tableColumn id="6" xr3:uid="{223B35B4-42ED-4C6A-BB4D-BBEF7AD38562}" name="Entradas Vendidas"/>
    <tableColumn id="4" xr3:uid="{2B19E29A-794D-4A7C-906B-C3B1C021B91C}" name="Nro Mesa"/>
    <tableColumn id="7" xr3:uid="{CB933A59-AB45-4263-B02C-1555B9468833}" name="Estado Funnel (Contactado / Interesado / Confirmado / Pagado)"/>
    <tableColumn id="13" xr3:uid="{97075ED0-22E8-4D7B-99DE-CA30D8E14D40}" name="Precio"/>
    <tableColumn id="8" xr3:uid="{1F1D9C88-003E-4C6A-B39E-7E7FD0F810AC}" name="Monto Pagado (Bs)" dataDxfId="0">
      <calculatedColumnFormula>Tabla1[[#This Row],[Precio]]*Tabla1[[#This Row],[Entradas Vendidas]]</calculatedColumnFormula>
    </tableColumn>
    <tableColumn id="9" xr3:uid="{F60FC820-C166-4E3F-B30A-5903928106E4}" name="Método de Pago (QR / Efectivo)"/>
    <tableColumn id="11" xr3:uid="{D2F85F06-19D2-43D9-A643-220887BE0D77}" name="Fecha de Pago"/>
    <tableColumn id="12" xr3:uid="{9A11627C-E0C4-4B7C-9F10-F28D4E3E6ABB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79"/>
  <sheetViews>
    <sheetView tabSelected="1" topLeftCell="A62" workbookViewId="0">
      <selection activeCell="B76" sqref="B76"/>
    </sheetView>
  </sheetViews>
  <sheetFormatPr baseColWidth="10" defaultColWidth="8.88671875" defaultRowHeight="14.4" x14ac:dyDescent="0.3"/>
  <cols>
    <col min="1" max="2" width="33.77734375" bestFit="1" customWidth="1"/>
    <col min="3" max="3" width="17" customWidth="1"/>
    <col min="4" max="4" width="23" customWidth="1"/>
    <col min="5" max="5" width="10.33203125" customWidth="1"/>
    <col min="6" max="6" width="12.77734375" customWidth="1"/>
    <col min="7" max="7" width="11.109375" customWidth="1"/>
    <col min="8" max="8" width="11.77734375" bestFit="1" customWidth="1"/>
    <col min="9" max="9" width="19.109375" customWidth="1"/>
    <col min="10" max="10" width="29.6640625" customWidth="1"/>
    <col min="11" max="11" width="18.44140625" customWidth="1"/>
    <col min="12" max="12" width="15" customWidth="1"/>
    <col min="13" max="13" width="22.109375" bestFit="1" customWidth="1"/>
  </cols>
  <sheetData>
    <row r="3" spans="1:13" x14ac:dyDescent="0.3">
      <c r="A3" t="s">
        <v>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151</v>
      </c>
      <c r="H3" t="s">
        <v>5</v>
      </c>
      <c r="I3" t="s">
        <v>74</v>
      </c>
      <c r="J3" t="s">
        <v>6</v>
      </c>
      <c r="K3" t="s">
        <v>7</v>
      </c>
      <c r="L3" t="s">
        <v>9</v>
      </c>
      <c r="M3" t="s">
        <v>10</v>
      </c>
    </row>
    <row r="4" spans="1:13" x14ac:dyDescent="0.3">
      <c r="A4" s="1">
        <v>46031</v>
      </c>
      <c r="B4" t="s">
        <v>11</v>
      </c>
      <c r="C4">
        <v>71263494</v>
      </c>
      <c r="D4" t="s">
        <v>12</v>
      </c>
      <c r="E4">
        <v>5</v>
      </c>
      <c r="F4">
        <v>4</v>
      </c>
      <c r="G4">
        <v>10</v>
      </c>
      <c r="H4" t="s">
        <v>73</v>
      </c>
      <c r="I4">
        <v>180</v>
      </c>
      <c r="J4">
        <f>Tabla1[[#This Row],[Precio]]*Tabla1[[#This Row],[Entradas Vendidas]]</f>
        <v>720</v>
      </c>
      <c r="K4" t="s">
        <v>75</v>
      </c>
      <c r="L4" s="1">
        <v>46032</v>
      </c>
      <c r="M4" t="s">
        <v>14</v>
      </c>
    </row>
    <row r="5" spans="1:13" x14ac:dyDescent="0.3">
      <c r="A5" s="1">
        <v>46032</v>
      </c>
      <c r="B5" t="s">
        <v>72</v>
      </c>
      <c r="C5">
        <v>70837080</v>
      </c>
      <c r="D5" t="s">
        <v>76</v>
      </c>
      <c r="E5">
        <v>2</v>
      </c>
      <c r="F5" t="s">
        <v>152</v>
      </c>
      <c r="G5" t="s">
        <v>152</v>
      </c>
      <c r="H5" s="2" t="s">
        <v>13</v>
      </c>
      <c r="I5">
        <v>180</v>
      </c>
      <c r="J5" t="e">
        <f>Tabla1[[#This Row],[Precio]]*Tabla1[[#This Row],[Entradas Vendidas]]</f>
        <v>#VALUE!</v>
      </c>
    </row>
    <row r="6" spans="1:13" x14ac:dyDescent="0.3">
      <c r="A6" s="1">
        <v>46032</v>
      </c>
      <c r="B6" t="s">
        <v>20</v>
      </c>
      <c r="C6">
        <v>75012354</v>
      </c>
      <c r="D6" t="s">
        <v>76</v>
      </c>
      <c r="E6">
        <v>2</v>
      </c>
      <c r="F6" t="s">
        <v>152</v>
      </c>
      <c r="H6" s="2" t="s">
        <v>13</v>
      </c>
      <c r="I6">
        <v>180</v>
      </c>
      <c r="J6" t="e">
        <f>Tabla1[[#This Row],[Precio]]*Tabla1[[#This Row],[Entradas Vendidas]]</f>
        <v>#VALUE!</v>
      </c>
    </row>
    <row r="7" spans="1:13" x14ac:dyDescent="0.3">
      <c r="A7" s="1">
        <v>46032</v>
      </c>
      <c r="B7" t="s">
        <v>71</v>
      </c>
      <c r="C7">
        <v>78487227</v>
      </c>
      <c r="D7" t="s">
        <v>77</v>
      </c>
      <c r="E7">
        <v>2</v>
      </c>
      <c r="F7" t="s">
        <v>152</v>
      </c>
      <c r="H7" s="2" t="s">
        <v>13</v>
      </c>
      <c r="I7">
        <v>180</v>
      </c>
      <c r="J7" t="e">
        <f>Tabla1[[#This Row],[Precio]]*Tabla1[[#This Row],[Entradas Vendidas]]</f>
        <v>#VALUE!</v>
      </c>
    </row>
    <row r="8" spans="1:13" x14ac:dyDescent="0.3">
      <c r="A8" s="1">
        <v>46032</v>
      </c>
      <c r="B8" t="s">
        <v>15</v>
      </c>
      <c r="C8">
        <v>79071059</v>
      </c>
      <c r="D8" t="s">
        <v>77</v>
      </c>
      <c r="E8">
        <v>2</v>
      </c>
      <c r="F8">
        <v>2</v>
      </c>
      <c r="H8" s="2" t="s">
        <v>73</v>
      </c>
      <c r="I8">
        <v>180</v>
      </c>
      <c r="J8">
        <f>Tabla1[[#This Row],[Precio]]*Tabla1[[#This Row],[Entradas Vendidas]]</f>
        <v>360</v>
      </c>
      <c r="K8" t="s">
        <v>75</v>
      </c>
      <c r="L8" s="1">
        <v>46032</v>
      </c>
      <c r="M8" t="s">
        <v>81</v>
      </c>
    </row>
    <row r="9" spans="1:13" x14ac:dyDescent="0.3">
      <c r="A9" s="1">
        <v>46032</v>
      </c>
      <c r="B9" t="s">
        <v>52</v>
      </c>
      <c r="C9">
        <v>75355478</v>
      </c>
      <c r="D9" t="s">
        <v>12</v>
      </c>
      <c r="E9">
        <v>1</v>
      </c>
      <c r="F9" t="s">
        <v>152</v>
      </c>
      <c r="H9" s="2" t="s">
        <v>13</v>
      </c>
      <c r="I9">
        <v>180</v>
      </c>
      <c r="J9" t="e">
        <f>Tabla1[[#This Row],[Precio]]*Tabla1[[#This Row],[Entradas Vendidas]]</f>
        <v>#VALUE!</v>
      </c>
    </row>
    <row r="10" spans="1:13" x14ac:dyDescent="0.3">
      <c r="A10" s="1">
        <v>46032</v>
      </c>
      <c r="B10" t="s">
        <v>18</v>
      </c>
      <c r="C10">
        <v>67767903</v>
      </c>
      <c r="D10" t="s">
        <v>19</v>
      </c>
      <c r="E10">
        <v>5</v>
      </c>
      <c r="F10">
        <v>1</v>
      </c>
      <c r="G10">
        <v>50</v>
      </c>
      <c r="H10" s="2" t="s">
        <v>13</v>
      </c>
      <c r="I10">
        <v>180</v>
      </c>
      <c r="J10">
        <f>Tabla1[[#This Row],[Precio]]*Tabla1[[#This Row],[Entradas Vendidas]]</f>
        <v>180</v>
      </c>
    </row>
    <row r="11" spans="1:13" x14ac:dyDescent="0.3">
      <c r="A11" s="1">
        <v>46032</v>
      </c>
      <c r="B11" t="s">
        <v>78</v>
      </c>
      <c r="C11">
        <v>69233208</v>
      </c>
      <c r="D11" t="s">
        <v>12</v>
      </c>
      <c r="E11">
        <v>2</v>
      </c>
      <c r="F11" t="s">
        <v>152</v>
      </c>
      <c r="H11" s="2" t="s">
        <v>13</v>
      </c>
      <c r="I11">
        <v>180</v>
      </c>
      <c r="J11" t="e">
        <f>Tabla1[[#This Row],[Precio]]*Tabla1[[#This Row],[Entradas Vendidas]]</f>
        <v>#VALUE!</v>
      </c>
    </row>
    <row r="12" spans="1:13" x14ac:dyDescent="0.3">
      <c r="A12" s="1">
        <v>46032</v>
      </c>
      <c r="B12" t="s">
        <v>70</v>
      </c>
      <c r="C12">
        <v>76314270</v>
      </c>
      <c r="D12" t="s">
        <v>79</v>
      </c>
      <c r="E12">
        <v>1</v>
      </c>
      <c r="F12">
        <v>1</v>
      </c>
      <c r="G12">
        <v>26</v>
      </c>
      <c r="H12" t="s">
        <v>73</v>
      </c>
      <c r="I12">
        <v>180</v>
      </c>
      <c r="J12">
        <f>Tabla1[[#This Row],[Precio]]*Tabla1[[#This Row],[Entradas Vendidas]]</f>
        <v>180</v>
      </c>
      <c r="K12" t="s">
        <v>75</v>
      </c>
      <c r="L12" s="1">
        <v>46032</v>
      </c>
      <c r="M12" t="s">
        <v>80</v>
      </c>
    </row>
    <row r="13" spans="1:13" x14ac:dyDescent="0.3">
      <c r="A13" s="1">
        <v>46032</v>
      </c>
      <c r="B13" t="s">
        <v>56</v>
      </c>
      <c r="C13">
        <v>76341505</v>
      </c>
      <c r="D13" t="s">
        <v>12</v>
      </c>
      <c r="E13">
        <v>2</v>
      </c>
      <c r="F13" t="s">
        <v>152</v>
      </c>
      <c r="H13" s="2" t="s">
        <v>13</v>
      </c>
      <c r="I13">
        <v>180</v>
      </c>
      <c r="J13" t="e">
        <f>Tabla1[[#This Row],[Precio]]*Tabla1[[#This Row],[Entradas Vendidas]]</f>
        <v>#VALUE!</v>
      </c>
    </row>
    <row r="14" spans="1:13" x14ac:dyDescent="0.3">
      <c r="A14" s="1">
        <v>46033</v>
      </c>
      <c r="B14" t="s">
        <v>34</v>
      </c>
      <c r="C14">
        <v>78139932</v>
      </c>
      <c r="D14" t="s">
        <v>77</v>
      </c>
      <c r="E14">
        <v>2</v>
      </c>
      <c r="F14" t="s">
        <v>152</v>
      </c>
      <c r="H14" t="s">
        <v>92</v>
      </c>
      <c r="I14">
        <v>180</v>
      </c>
      <c r="J14" t="e">
        <f>Tabla1[[#This Row],[Precio]]*Tabla1[[#This Row],[Entradas Vendidas]]</f>
        <v>#VALUE!</v>
      </c>
    </row>
    <row r="15" spans="1:13" x14ac:dyDescent="0.3">
      <c r="A15" s="1">
        <v>46033</v>
      </c>
      <c r="B15" t="s">
        <v>82</v>
      </c>
      <c r="C15">
        <v>63505554</v>
      </c>
      <c r="D15" t="s">
        <v>77</v>
      </c>
      <c r="E15">
        <v>2</v>
      </c>
      <c r="F15" t="s">
        <v>152</v>
      </c>
      <c r="H15" t="s">
        <v>13</v>
      </c>
      <c r="I15">
        <v>180</v>
      </c>
      <c r="J15" t="e">
        <f>Tabla1[[#This Row],[Precio]]*Tabla1[[#This Row],[Entradas Vendidas]]</f>
        <v>#VALUE!</v>
      </c>
    </row>
    <row r="16" spans="1:13" x14ac:dyDescent="0.3">
      <c r="A16" s="1">
        <v>46033</v>
      </c>
      <c r="B16" t="s">
        <v>47</v>
      </c>
      <c r="C16">
        <v>77361715</v>
      </c>
      <c r="D16" t="s">
        <v>77</v>
      </c>
      <c r="E16">
        <v>2</v>
      </c>
      <c r="F16" t="s">
        <v>152</v>
      </c>
      <c r="H16" t="s">
        <v>13</v>
      </c>
      <c r="I16">
        <v>180</v>
      </c>
      <c r="J16" t="e">
        <f>Tabla1[[#This Row],[Precio]]*Tabla1[[#This Row],[Entradas Vendidas]]</f>
        <v>#VALUE!</v>
      </c>
    </row>
    <row r="17" spans="1:10" x14ac:dyDescent="0.3">
      <c r="A17" s="1">
        <v>46033</v>
      </c>
      <c r="B17" t="s">
        <v>58</v>
      </c>
      <c r="C17">
        <v>75027659</v>
      </c>
      <c r="D17" t="s">
        <v>79</v>
      </c>
      <c r="E17">
        <v>1</v>
      </c>
      <c r="F17">
        <v>0</v>
      </c>
      <c r="G17">
        <v>0</v>
      </c>
      <c r="H17" t="s">
        <v>96</v>
      </c>
      <c r="I17">
        <v>180</v>
      </c>
      <c r="J17">
        <f>Tabla1[[#This Row],[Precio]]*Tabla1[[#This Row],[Entradas Vendidas]]</f>
        <v>0</v>
      </c>
    </row>
    <row r="18" spans="1:10" x14ac:dyDescent="0.3">
      <c r="A18" s="1">
        <v>46033</v>
      </c>
      <c r="B18" t="s">
        <v>27</v>
      </c>
      <c r="C18">
        <v>77995075</v>
      </c>
      <c r="D18" t="s">
        <v>28</v>
      </c>
      <c r="E18">
        <v>2</v>
      </c>
      <c r="F18" t="s">
        <v>152</v>
      </c>
      <c r="H18" t="s">
        <v>92</v>
      </c>
      <c r="I18">
        <v>180</v>
      </c>
      <c r="J18" t="e">
        <f>Tabla1[[#This Row],[Precio]]*Tabla1[[#This Row],[Entradas Vendidas]]</f>
        <v>#VALUE!</v>
      </c>
    </row>
    <row r="19" spans="1:10" x14ac:dyDescent="0.3">
      <c r="A19" s="1">
        <v>46033</v>
      </c>
      <c r="B19" t="s">
        <v>30</v>
      </c>
      <c r="C19">
        <v>77647601</v>
      </c>
      <c r="D19" t="s">
        <v>148</v>
      </c>
      <c r="E19">
        <v>5</v>
      </c>
      <c r="F19" t="s">
        <v>152</v>
      </c>
      <c r="H19" t="s">
        <v>13</v>
      </c>
      <c r="I19">
        <v>180</v>
      </c>
      <c r="J19" t="e">
        <f>Tabla1[[#This Row],[Precio]]*Tabla1[[#This Row],[Entradas Vendidas]]</f>
        <v>#VALUE!</v>
      </c>
    </row>
    <row r="20" spans="1:10" x14ac:dyDescent="0.3">
      <c r="A20" s="1">
        <v>46033</v>
      </c>
      <c r="B20" t="s">
        <v>40</v>
      </c>
      <c r="C20">
        <v>75303928</v>
      </c>
      <c r="D20" t="s">
        <v>79</v>
      </c>
      <c r="E20">
        <v>2</v>
      </c>
      <c r="F20" t="s">
        <v>152</v>
      </c>
      <c r="H20" t="s">
        <v>153</v>
      </c>
      <c r="I20">
        <v>180</v>
      </c>
      <c r="J20" t="e">
        <f>Tabla1[[#This Row],[Precio]]*Tabla1[[#This Row],[Entradas Vendidas]]</f>
        <v>#VALUE!</v>
      </c>
    </row>
    <row r="21" spans="1:10" x14ac:dyDescent="0.3">
      <c r="A21" s="1">
        <v>46033</v>
      </c>
      <c r="B21" t="s">
        <v>67</v>
      </c>
      <c r="C21">
        <v>76852627</v>
      </c>
      <c r="D21" t="s">
        <v>79</v>
      </c>
      <c r="E21">
        <v>2</v>
      </c>
      <c r="F21" t="s">
        <v>152</v>
      </c>
      <c r="H21" t="s">
        <v>13</v>
      </c>
      <c r="I21">
        <v>180</v>
      </c>
      <c r="J21" t="e">
        <f>Tabla1[[#This Row],[Precio]]*Tabla1[[#This Row],[Entradas Vendidas]]</f>
        <v>#VALUE!</v>
      </c>
    </row>
    <row r="22" spans="1:10" x14ac:dyDescent="0.3">
      <c r="A22" s="1">
        <v>46033</v>
      </c>
      <c r="B22" t="s">
        <v>86</v>
      </c>
      <c r="C22">
        <v>77319321</v>
      </c>
      <c r="D22" t="s">
        <v>77</v>
      </c>
      <c r="E22">
        <v>2</v>
      </c>
      <c r="F22" t="s">
        <v>152</v>
      </c>
      <c r="H22" t="s">
        <v>92</v>
      </c>
      <c r="I22">
        <v>180</v>
      </c>
      <c r="J22" t="e">
        <f>Tabla1[[#This Row],[Precio]]*Tabla1[[#This Row],[Entradas Vendidas]]</f>
        <v>#VALUE!</v>
      </c>
    </row>
    <row r="23" spans="1:10" x14ac:dyDescent="0.3">
      <c r="A23" s="1">
        <v>46033</v>
      </c>
      <c r="B23" t="s">
        <v>85</v>
      </c>
      <c r="C23">
        <v>78523618</v>
      </c>
      <c r="D23" t="s">
        <v>77</v>
      </c>
      <c r="E23">
        <v>1</v>
      </c>
      <c r="F23" t="s">
        <v>152</v>
      </c>
      <c r="H23" t="s">
        <v>153</v>
      </c>
      <c r="I23">
        <v>180</v>
      </c>
      <c r="J23" t="e">
        <f>Tabla1[[#This Row],[Precio]]*Tabla1[[#This Row],[Entradas Vendidas]]</f>
        <v>#VALUE!</v>
      </c>
    </row>
    <row r="24" spans="1:10" x14ac:dyDescent="0.3">
      <c r="A24" s="1">
        <v>46033</v>
      </c>
      <c r="B24" t="s">
        <v>84</v>
      </c>
      <c r="C24">
        <v>63563697</v>
      </c>
      <c r="D24" t="s">
        <v>76</v>
      </c>
      <c r="E24">
        <v>2</v>
      </c>
      <c r="F24" t="s">
        <v>152</v>
      </c>
      <c r="G24" t="s">
        <v>152</v>
      </c>
      <c r="H24" t="s">
        <v>13</v>
      </c>
      <c r="I24">
        <v>180</v>
      </c>
      <c r="J24" t="e">
        <f>Tabla1[[#This Row],[Precio]]*Tabla1[[#This Row],[Entradas Vendidas]]</f>
        <v>#VALUE!</v>
      </c>
    </row>
    <row r="25" spans="1:10" x14ac:dyDescent="0.3">
      <c r="A25" s="1">
        <v>46033</v>
      </c>
      <c r="B25" t="s">
        <v>91</v>
      </c>
      <c r="C25">
        <v>76070055</v>
      </c>
      <c r="D25" t="s">
        <v>76</v>
      </c>
      <c r="E25">
        <v>4</v>
      </c>
      <c r="F25">
        <v>4</v>
      </c>
      <c r="G25">
        <v>9</v>
      </c>
      <c r="H25" t="s">
        <v>13</v>
      </c>
      <c r="I25">
        <v>180</v>
      </c>
      <c r="J25">
        <f>Tabla1[[#This Row],[Precio]]*Tabla1[[#This Row],[Entradas Vendidas]]</f>
        <v>720</v>
      </c>
    </row>
    <row r="26" spans="1:10" x14ac:dyDescent="0.3">
      <c r="A26" s="1">
        <v>46033</v>
      </c>
      <c r="B26" t="s">
        <v>89</v>
      </c>
      <c r="C26">
        <v>70409507</v>
      </c>
      <c r="D26" t="s">
        <v>77</v>
      </c>
      <c r="E26">
        <v>2</v>
      </c>
      <c r="F26" t="s">
        <v>152</v>
      </c>
      <c r="H26" t="s">
        <v>13</v>
      </c>
      <c r="I26">
        <v>180</v>
      </c>
      <c r="J26" t="e">
        <f>Tabla1[[#This Row],[Precio]]*Tabla1[[#This Row],[Entradas Vendidas]]</f>
        <v>#VALUE!</v>
      </c>
    </row>
    <row r="27" spans="1:10" x14ac:dyDescent="0.3">
      <c r="A27" s="1">
        <v>46034</v>
      </c>
      <c r="B27" t="s">
        <v>33</v>
      </c>
      <c r="C27">
        <v>72130121</v>
      </c>
      <c r="D27" t="s">
        <v>12</v>
      </c>
      <c r="E27">
        <v>2</v>
      </c>
      <c r="F27" t="s">
        <v>152</v>
      </c>
      <c r="H27" t="s">
        <v>13</v>
      </c>
      <c r="I27">
        <v>180</v>
      </c>
      <c r="J27" t="e">
        <f>Tabla1[[#This Row],[Precio]]*Tabla1[[#This Row],[Entradas Vendidas]]</f>
        <v>#VALUE!</v>
      </c>
    </row>
    <row r="28" spans="1:10" x14ac:dyDescent="0.3">
      <c r="A28" s="1">
        <v>46034</v>
      </c>
      <c r="B28" t="s">
        <v>61</v>
      </c>
      <c r="C28">
        <v>78102126</v>
      </c>
      <c r="D28" t="s">
        <v>79</v>
      </c>
      <c r="E28">
        <v>2</v>
      </c>
      <c r="F28" t="s">
        <v>152</v>
      </c>
      <c r="H28" t="s">
        <v>13</v>
      </c>
      <c r="I28">
        <v>180</v>
      </c>
      <c r="J28" t="e">
        <f>Tabla1[[#This Row],[Precio]]*Tabla1[[#This Row],[Entradas Vendidas]]</f>
        <v>#VALUE!</v>
      </c>
    </row>
    <row r="29" spans="1:10" x14ac:dyDescent="0.3">
      <c r="A29" s="1">
        <v>46034</v>
      </c>
      <c r="B29" t="s">
        <v>95</v>
      </c>
      <c r="C29">
        <v>69191119</v>
      </c>
      <c r="D29" t="s">
        <v>76</v>
      </c>
      <c r="E29">
        <v>2</v>
      </c>
      <c r="F29">
        <v>0</v>
      </c>
      <c r="G29">
        <v>0</v>
      </c>
      <c r="H29" t="s">
        <v>96</v>
      </c>
      <c r="I29">
        <v>180</v>
      </c>
      <c r="J29">
        <f>Tabla1[[#This Row],[Precio]]*Tabla1[[#This Row],[Entradas Vendidas]]</f>
        <v>0</v>
      </c>
    </row>
    <row r="30" spans="1:10" x14ac:dyDescent="0.3">
      <c r="A30" s="1">
        <v>46034</v>
      </c>
      <c r="B30" t="s">
        <v>97</v>
      </c>
      <c r="C30">
        <v>76192589</v>
      </c>
      <c r="D30" t="s">
        <v>79</v>
      </c>
      <c r="E30">
        <v>2</v>
      </c>
      <c r="F30" t="s">
        <v>152</v>
      </c>
      <c r="H30" t="s">
        <v>92</v>
      </c>
      <c r="I30">
        <v>180</v>
      </c>
      <c r="J30" t="e">
        <f>Tabla1[[#This Row],[Precio]]*Tabla1[[#This Row],[Entradas Vendidas]]</f>
        <v>#VALUE!</v>
      </c>
    </row>
    <row r="31" spans="1:10" x14ac:dyDescent="0.3">
      <c r="A31" s="1">
        <v>46034</v>
      </c>
      <c r="B31" t="s">
        <v>49</v>
      </c>
      <c r="C31">
        <v>70818566</v>
      </c>
      <c r="D31" t="s">
        <v>79</v>
      </c>
      <c r="E31">
        <v>2</v>
      </c>
      <c r="F31" t="s">
        <v>152</v>
      </c>
      <c r="H31" t="s">
        <v>92</v>
      </c>
      <c r="I31">
        <v>180</v>
      </c>
      <c r="J31" t="e">
        <f>Tabla1[[#This Row],[Precio]]*Tabla1[[#This Row],[Entradas Vendidas]]</f>
        <v>#VALUE!</v>
      </c>
    </row>
    <row r="32" spans="1:10" x14ac:dyDescent="0.3">
      <c r="A32" s="1">
        <v>46034</v>
      </c>
      <c r="B32" t="s">
        <v>35</v>
      </c>
      <c r="C32">
        <v>75016632</v>
      </c>
      <c r="D32" t="s">
        <v>76</v>
      </c>
      <c r="E32">
        <v>2</v>
      </c>
      <c r="F32" t="s">
        <v>152</v>
      </c>
      <c r="H32" t="s">
        <v>13</v>
      </c>
      <c r="I32">
        <v>180</v>
      </c>
      <c r="J32" t="e">
        <f>Tabla1[[#This Row],[Precio]]*Tabla1[[#This Row],[Entradas Vendidas]]</f>
        <v>#VALUE!</v>
      </c>
    </row>
    <row r="33" spans="1:10" x14ac:dyDescent="0.3">
      <c r="A33" s="1">
        <v>46034</v>
      </c>
      <c r="B33" t="s">
        <v>21</v>
      </c>
      <c r="C33">
        <v>76373616</v>
      </c>
      <c r="D33" t="s">
        <v>148</v>
      </c>
      <c r="E33">
        <v>4</v>
      </c>
      <c r="F33">
        <v>4</v>
      </c>
      <c r="G33">
        <v>17</v>
      </c>
      <c r="H33" t="s">
        <v>92</v>
      </c>
      <c r="I33">
        <v>180</v>
      </c>
      <c r="J33">
        <f>Tabla1[[#This Row],[Precio]]*Tabla1[[#This Row],[Entradas Vendidas]]</f>
        <v>720</v>
      </c>
    </row>
    <row r="34" spans="1:10" x14ac:dyDescent="0.3">
      <c r="A34" s="1">
        <v>46034</v>
      </c>
      <c r="B34" t="s">
        <v>145</v>
      </c>
      <c r="C34">
        <v>78515015</v>
      </c>
      <c r="D34" t="s">
        <v>76</v>
      </c>
      <c r="E34">
        <v>2</v>
      </c>
      <c r="F34" t="s">
        <v>152</v>
      </c>
      <c r="H34" t="s">
        <v>92</v>
      </c>
      <c r="J34" t="e">
        <f>Tabla1[[#This Row],[Precio]]*Tabla1[[#This Row],[Entradas Vendidas]]</f>
        <v>#VALUE!</v>
      </c>
    </row>
    <row r="35" spans="1:10" x14ac:dyDescent="0.3">
      <c r="A35" s="1">
        <v>46034</v>
      </c>
      <c r="B35" t="s">
        <v>146</v>
      </c>
      <c r="C35">
        <v>62116777</v>
      </c>
      <c r="D35" t="s">
        <v>147</v>
      </c>
      <c r="H35" t="s">
        <v>96</v>
      </c>
      <c r="J35">
        <f>Tabla1[[#This Row],[Precio]]*Tabla1[[#This Row],[Entradas Vendidas]]</f>
        <v>0</v>
      </c>
    </row>
    <row r="36" spans="1:10" x14ac:dyDescent="0.3">
      <c r="A36" s="1">
        <v>46034</v>
      </c>
      <c r="B36" t="s">
        <v>48</v>
      </c>
      <c r="C36">
        <v>77333331</v>
      </c>
      <c r="D36" t="s">
        <v>76</v>
      </c>
      <c r="H36" t="s">
        <v>92</v>
      </c>
      <c r="I36">
        <v>180</v>
      </c>
      <c r="J36">
        <f>Tabla1[[#This Row],[Precio]]*Tabla1[[#This Row],[Entradas Vendidas]]</f>
        <v>0</v>
      </c>
    </row>
    <row r="37" spans="1:10" x14ac:dyDescent="0.3">
      <c r="A37" s="1">
        <v>46034</v>
      </c>
      <c r="B37" t="s">
        <v>44</v>
      </c>
      <c r="C37">
        <v>76029203</v>
      </c>
      <c r="D37" t="s">
        <v>76</v>
      </c>
      <c r="H37" t="s">
        <v>13</v>
      </c>
      <c r="I37">
        <v>180</v>
      </c>
      <c r="J37">
        <f>Tabla1[[#This Row],[Precio]]*Tabla1[[#This Row],[Entradas Vendidas]]</f>
        <v>0</v>
      </c>
    </row>
    <row r="38" spans="1:10" x14ac:dyDescent="0.3">
      <c r="A38" s="1">
        <v>46034</v>
      </c>
      <c r="B38" t="s">
        <v>69</v>
      </c>
      <c r="C38">
        <v>75531742</v>
      </c>
      <c r="D38" t="s">
        <v>147</v>
      </c>
      <c r="H38" t="s">
        <v>13</v>
      </c>
      <c r="I38">
        <v>180</v>
      </c>
      <c r="J38">
        <f>Tabla1[[#This Row],[Precio]]*Tabla1[[#This Row],[Entradas Vendidas]]</f>
        <v>0</v>
      </c>
    </row>
    <row r="39" spans="1:10" x14ac:dyDescent="0.3">
      <c r="A39" s="1">
        <v>46034</v>
      </c>
      <c r="B39" t="s">
        <v>51</v>
      </c>
      <c r="C39">
        <v>71819827</v>
      </c>
      <c r="D39" t="s">
        <v>77</v>
      </c>
      <c r="H39" t="s">
        <v>13</v>
      </c>
      <c r="I39">
        <v>180</v>
      </c>
      <c r="J39">
        <f>Tabla1[[#This Row],[Precio]]*Tabla1[[#This Row],[Entradas Vendidas]]</f>
        <v>0</v>
      </c>
    </row>
    <row r="40" spans="1:10" x14ac:dyDescent="0.3">
      <c r="A40" s="1">
        <v>46035</v>
      </c>
      <c r="B40" t="s">
        <v>54</v>
      </c>
      <c r="C40">
        <v>69224498</v>
      </c>
      <c r="D40" t="s">
        <v>76</v>
      </c>
      <c r="H40" t="s">
        <v>13</v>
      </c>
      <c r="I40">
        <v>180</v>
      </c>
      <c r="J40">
        <f>Tabla1[[#This Row],[Precio]]*Tabla1[[#This Row],[Entradas Vendidas]]</f>
        <v>0</v>
      </c>
    </row>
    <row r="41" spans="1:10" x14ac:dyDescent="0.3">
      <c r="A41" s="1">
        <v>46035</v>
      </c>
      <c r="B41" t="s">
        <v>24</v>
      </c>
      <c r="C41">
        <v>63616413</v>
      </c>
      <c r="D41" t="s">
        <v>79</v>
      </c>
      <c r="H41" t="s">
        <v>13</v>
      </c>
      <c r="I41">
        <v>180</v>
      </c>
      <c r="J41">
        <f>Tabla1[[#This Row],[Precio]]*Tabla1[[#This Row],[Entradas Vendidas]]</f>
        <v>0</v>
      </c>
    </row>
    <row r="42" spans="1:10" x14ac:dyDescent="0.3">
      <c r="A42" s="1">
        <v>46035</v>
      </c>
      <c r="B42" t="s">
        <v>16</v>
      </c>
      <c r="C42">
        <v>78087396</v>
      </c>
      <c r="D42" t="s">
        <v>76</v>
      </c>
      <c r="H42" t="s">
        <v>13</v>
      </c>
      <c r="I42">
        <v>180</v>
      </c>
      <c r="J42">
        <f>Tabla1[[#This Row],[Precio]]*Tabla1[[#This Row],[Entradas Vendidas]]</f>
        <v>0</v>
      </c>
    </row>
    <row r="43" spans="1:10" x14ac:dyDescent="0.3">
      <c r="A43" s="1">
        <v>46035</v>
      </c>
      <c r="B43" t="s">
        <v>87</v>
      </c>
      <c r="C43">
        <v>72048318</v>
      </c>
      <c r="D43" t="s">
        <v>77</v>
      </c>
      <c r="H43" t="s">
        <v>13</v>
      </c>
      <c r="I43">
        <v>180</v>
      </c>
      <c r="J43">
        <f>Tabla1[[#This Row],[Precio]]*Tabla1[[#This Row],[Entradas Vendidas]]</f>
        <v>0</v>
      </c>
    </row>
    <row r="44" spans="1:10" x14ac:dyDescent="0.3">
      <c r="A44" s="1">
        <v>46035</v>
      </c>
      <c r="B44" t="s">
        <v>94</v>
      </c>
      <c r="C44">
        <v>62073889</v>
      </c>
      <c r="D44" t="s">
        <v>28</v>
      </c>
      <c r="H44" t="s">
        <v>13</v>
      </c>
      <c r="I44">
        <v>180</v>
      </c>
      <c r="J44">
        <f>Tabla1[[#This Row],[Precio]]*Tabla1[[#This Row],[Entradas Vendidas]]</f>
        <v>0</v>
      </c>
    </row>
    <row r="45" spans="1:10" x14ac:dyDescent="0.3">
      <c r="A45" s="1">
        <v>46035</v>
      </c>
      <c r="B45" t="s">
        <v>93</v>
      </c>
      <c r="C45">
        <v>75250486</v>
      </c>
      <c r="D45" t="s">
        <v>28</v>
      </c>
      <c r="I45">
        <v>180</v>
      </c>
      <c r="J45">
        <f>Tabla1[[#This Row],[Precio]]*Tabla1[[#This Row],[Entradas Vendidas]]</f>
        <v>0</v>
      </c>
    </row>
    <row r="46" spans="1:10" x14ac:dyDescent="0.3">
      <c r="A46" s="1">
        <v>46035</v>
      </c>
      <c r="B46" t="s">
        <v>59</v>
      </c>
      <c r="C46">
        <v>76693792</v>
      </c>
      <c r="D46" t="s">
        <v>77</v>
      </c>
      <c r="H46" t="s">
        <v>13</v>
      </c>
      <c r="I46">
        <v>180</v>
      </c>
      <c r="J46">
        <f>Tabla1[[#This Row],[Precio]]*Tabla1[[#This Row],[Entradas Vendidas]]</f>
        <v>0</v>
      </c>
    </row>
    <row r="47" spans="1:10" x14ac:dyDescent="0.3">
      <c r="A47" s="1">
        <v>46035</v>
      </c>
      <c r="B47" t="s">
        <v>23</v>
      </c>
      <c r="C47">
        <v>72122212</v>
      </c>
      <c r="D47" t="s">
        <v>76</v>
      </c>
      <c r="I47">
        <v>180</v>
      </c>
      <c r="J47">
        <f>Tabla1[[#This Row],[Precio]]*Tabla1[[#This Row],[Entradas Vendidas]]</f>
        <v>0</v>
      </c>
    </row>
    <row r="48" spans="1:10" x14ac:dyDescent="0.3">
      <c r="A48" s="1">
        <v>46035</v>
      </c>
      <c r="B48" t="s">
        <v>149</v>
      </c>
      <c r="C48" s="18">
        <v>491774956420</v>
      </c>
      <c r="D48" t="s">
        <v>76</v>
      </c>
      <c r="J48" s="17">
        <f>Tabla1[[#This Row],[Precio]]*Tabla1[[#This Row],[Entradas Vendidas]]</f>
        <v>0</v>
      </c>
    </row>
    <row r="49" spans="1:10" x14ac:dyDescent="0.3">
      <c r="A49" s="1">
        <v>46036</v>
      </c>
      <c r="B49" t="s">
        <v>17</v>
      </c>
      <c r="C49">
        <v>76687511</v>
      </c>
      <c r="D49" t="s">
        <v>28</v>
      </c>
      <c r="I49">
        <v>180</v>
      </c>
      <c r="J49">
        <f>Tabla1[[#This Row],[Precio]]*Tabla1[[#This Row],[Entradas Vendidas]]</f>
        <v>0</v>
      </c>
    </row>
    <row r="50" spans="1:10" x14ac:dyDescent="0.3">
      <c r="A50" s="1">
        <v>46036</v>
      </c>
      <c r="B50" t="s">
        <v>42</v>
      </c>
      <c r="C50">
        <v>75530063</v>
      </c>
      <c r="D50" t="s">
        <v>76</v>
      </c>
      <c r="I50">
        <v>180</v>
      </c>
      <c r="J50">
        <f>Tabla1[[#This Row],[Precio]]*Tabla1[[#This Row],[Entradas Vendidas]]</f>
        <v>0</v>
      </c>
    </row>
    <row r="51" spans="1:10" x14ac:dyDescent="0.3">
      <c r="A51" s="1">
        <v>46036</v>
      </c>
      <c r="B51" t="s">
        <v>43</v>
      </c>
      <c r="C51">
        <v>75628875</v>
      </c>
      <c r="D51" t="s">
        <v>76</v>
      </c>
      <c r="I51">
        <v>180</v>
      </c>
      <c r="J51">
        <f>Tabla1[[#This Row],[Precio]]*Tabla1[[#This Row],[Entradas Vendidas]]</f>
        <v>0</v>
      </c>
    </row>
    <row r="52" spans="1:10" x14ac:dyDescent="0.3">
      <c r="A52" s="1">
        <v>46036</v>
      </c>
      <c r="B52" t="s">
        <v>39</v>
      </c>
      <c r="C52">
        <v>78523600</v>
      </c>
      <c r="D52" t="s">
        <v>76</v>
      </c>
      <c r="I52">
        <v>180</v>
      </c>
      <c r="J52">
        <f>Tabla1[[#This Row],[Precio]]*Tabla1[[#This Row],[Entradas Vendidas]]</f>
        <v>0</v>
      </c>
    </row>
    <row r="53" spans="1:10" x14ac:dyDescent="0.3">
      <c r="A53" s="1">
        <v>46036</v>
      </c>
      <c r="B53" t="s">
        <v>88</v>
      </c>
      <c r="C53">
        <v>77370309</v>
      </c>
      <c r="D53" t="s">
        <v>77</v>
      </c>
      <c r="H53" t="s">
        <v>13</v>
      </c>
      <c r="I53">
        <v>180</v>
      </c>
      <c r="J53">
        <f>Tabla1[[#This Row],[Precio]]*Tabla1[[#This Row],[Entradas Vendidas]]</f>
        <v>0</v>
      </c>
    </row>
    <row r="54" spans="1:10" x14ac:dyDescent="0.3">
      <c r="A54" s="1">
        <v>46036</v>
      </c>
      <c r="B54" t="s">
        <v>26</v>
      </c>
      <c r="C54">
        <v>60900315</v>
      </c>
      <c r="D54" t="s">
        <v>150</v>
      </c>
      <c r="H54" t="s">
        <v>13</v>
      </c>
      <c r="I54">
        <v>180</v>
      </c>
      <c r="J54">
        <f>Tabla1[[#This Row],[Precio]]*Tabla1[[#This Row],[Entradas Vendidas]]</f>
        <v>0</v>
      </c>
    </row>
    <row r="55" spans="1:10" x14ac:dyDescent="0.3">
      <c r="A55" s="1">
        <v>46036</v>
      </c>
      <c r="B55" t="s">
        <v>37</v>
      </c>
      <c r="C55">
        <v>76003609</v>
      </c>
      <c r="D55" t="s">
        <v>76</v>
      </c>
      <c r="I55">
        <v>180</v>
      </c>
      <c r="J55">
        <f>Tabla1[[#This Row],[Precio]]*Tabla1[[#This Row],[Entradas Vendidas]]</f>
        <v>0</v>
      </c>
    </row>
    <row r="56" spans="1:10" x14ac:dyDescent="0.3">
      <c r="A56" s="1">
        <v>46036</v>
      </c>
      <c r="B56" s="2" t="s">
        <v>154</v>
      </c>
      <c r="C56">
        <v>73133537</v>
      </c>
      <c r="D56" t="s">
        <v>76</v>
      </c>
      <c r="I56">
        <v>180</v>
      </c>
      <c r="J56">
        <f>Tabla1[[#This Row],[Precio]]*Tabla1[[#This Row],[Entradas Vendidas]]</f>
        <v>0</v>
      </c>
    </row>
    <row r="57" spans="1:10" x14ac:dyDescent="0.3">
      <c r="A57" s="1">
        <v>46036</v>
      </c>
      <c r="B57" t="s">
        <v>36</v>
      </c>
      <c r="C57">
        <v>79053520</v>
      </c>
      <c r="D57" t="s">
        <v>77</v>
      </c>
      <c r="I57">
        <v>180</v>
      </c>
      <c r="J57">
        <f>Tabla1[[#This Row],[Precio]]*Tabla1[[#This Row],[Entradas Vendidas]]</f>
        <v>0</v>
      </c>
    </row>
    <row r="58" spans="1:10" x14ac:dyDescent="0.3">
      <c r="A58" s="1">
        <v>46036</v>
      </c>
      <c r="B58" t="s">
        <v>57</v>
      </c>
      <c r="C58">
        <v>71339591</v>
      </c>
      <c r="D58" t="s">
        <v>77</v>
      </c>
      <c r="I58">
        <v>180</v>
      </c>
      <c r="J58">
        <f>Tabla1[[#This Row],[Precio]]*Tabla1[[#This Row],[Entradas Vendidas]]</f>
        <v>0</v>
      </c>
    </row>
    <row r="59" spans="1:10" x14ac:dyDescent="0.3">
      <c r="A59" s="1">
        <v>46036</v>
      </c>
      <c r="B59" t="s">
        <v>29</v>
      </c>
      <c r="C59">
        <v>77082525</v>
      </c>
      <c r="D59" t="s">
        <v>76</v>
      </c>
      <c r="I59">
        <v>180</v>
      </c>
      <c r="J59">
        <f>Tabla1[[#This Row],[Precio]]*Tabla1[[#This Row],[Entradas Vendidas]]</f>
        <v>0</v>
      </c>
    </row>
    <row r="60" spans="1:10" x14ac:dyDescent="0.3">
      <c r="A60" s="1">
        <v>46036</v>
      </c>
      <c r="B60" t="s">
        <v>31</v>
      </c>
      <c r="C60">
        <v>78528356</v>
      </c>
      <c r="D60" t="s">
        <v>32</v>
      </c>
      <c r="I60">
        <v>180</v>
      </c>
      <c r="J60">
        <f>Tabla1[[#This Row],[Precio]]*Tabla1[[#This Row],[Entradas Vendidas]]</f>
        <v>0</v>
      </c>
    </row>
    <row r="61" spans="1:10" x14ac:dyDescent="0.3">
      <c r="A61" s="1">
        <v>46036</v>
      </c>
      <c r="B61" t="s">
        <v>38</v>
      </c>
      <c r="C61">
        <v>75555107</v>
      </c>
      <c r="D61" t="s">
        <v>76</v>
      </c>
      <c r="I61">
        <v>180</v>
      </c>
      <c r="J61">
        <f>Tabla1[[#This Row],[Precio]]*Tabla1[[#This Row],[Entradas Vendidas]]</f>
        <v>0</v>
      </c>
    </row>
    <row r="62" spans="1:10" x14ac:dyDescent="0.3">
      <c r="A62" s="1">
        <v>46036</v>
      </c>
      <c r="B62" t="s">
        <v>55</v>
      </c>
      <c r="C62">
        <v>77012626</v>
      </c>
      <c r="D62" t="s">
        <v>76</v>
      </c>
      <c r="I62">
        <v>180</v>
      </c>
      <c r="J62">
        <f>Tabla1[[#This Row],[Precio]]*Tabla1[[#This Row],[Entradas Vendidas]]</f>
        <v>0</v>
      </c>
    </row>
    <row r="63" spans="1:10" x14ac:dyDescent="0.3">
      <c r="A63" s="1">
        <v>46036</v>
      </c>
      <c r="B63" t="s">
        <v>22</v>
      </c>
      <c r="C63">
        <v>77088878</v>
      </c>
      <c r="D63" t="s">
        <v>76</v>
      </c>
      <c r="I63">
        <v>180</v>
      </c>
      <c r="J63">
        <f>Tabla1[[#This Row],[Precio]]*Tabla1[[#This Row],[Entradas Vendidas]]</f>
        <v>0</v>
      </c>
    </row>
    <row r="64" spans="1:10" x14ac:dyDescent="0.3">
      <c r="A64" s="1">
        <v>46036</v>
      </c>
      <c r="B64" t="s">
        <v>155</v>
      </c>
      <c r="C64">
        <v>77800218</v>
      </c>
      <c r="D64" t="s">
        <v>79</v>
      </c>
      <c r="J64" s="17">
        <f>Tabla1[[#This Row],[Precio]]*Tabla1[[#This Row],[Entradas Vendidas]]</f>
        <v>0</v>
      </c>
    </row>
    <row r="65" spans="1:10" x14ac:dyDescent="0.3">
      <c r="A65" s="1"/>
      <c r="B65" s="2" t="s">
        <v>83</v>
      </c>
      <c r="C65">
        <v>75027015</v>
      </c>
      <c r="D65" t="s">
        <v>77</v>
      </c>
      <c r="I65">
        <v>180</v>
      </c>
      <c r="J65">
        <f>Tabla1[[#This Row],[Precio]]*Tabla1[[#This Row],[Entradas Vendidas]]</f>
        <v>0</v>
      </c>
    </row>
    <row r="66" spans="1:10" x14ac:dyDescent="0.3">
      <c r="A66" s="1">
        <v>46036</v>
      </c>
      <c r="B66" t="s">
        <v>50</v>
      </c>
      <c r="C66">
        <v>77021511</v>
      </c>
      <c r="D66" t="s">
        <v>76</v>
      </c>
      <c r="I66">
        <v>180</v>
      </c>
      <c r="J66">
        <f>Tabla1[[#This Row],[Precio]]*Tabla1[[#This Row],[Entradas Vendidas]]</f>
        <v>0</v>
      </c>
    </row>
    <row r="67" spans="1:10" x14ac:dyDescent="0.3">
      <c r="A67" s="1"/>
      <c r="B67" t="s">
        <v>90</v>
      </c>
      <c r="I67">
        <v>180</v>
      </c>
      <c r="J67">
        <f>Tabla1[[#This Row],[Precio]]*Tabla1[[#This Row],[Entradas Vendidas]]</f>
        <v>0</v>
      </c>
    </row>
    <row r="68" spans="1:10" x14ac:dyDescent="0.3">
      <c r="A68" s="1"/>
      <c r="B68" t="s">
        <v>60</v>
      </c>
      <c r="C68">
        <v>75647561</v>
      </c>
      <c r="D68" t="s">
        <v>77</v>
      </c>
      <c r="I68">
        <v>180</v>
      </c>
      <c r="J68">
        <f>Tabla1[[#This Row],[Precio]]*Tabla1[[#This Row],[Entradas Vendidas]]</f>
        <v>0</v>
      </c>
    </row>
    <row r="69" spans="1:10" x14ac:dyDescent="0.3">
      <c r="A69" s="1"/>
      <c r="B69" t="s">
        <v>41</v>
      </c>
      <c r="C69">
        <v>76037204</v>
      </c>
      <c r="I69">
        <v>180</v>
      </c>
      <c r="J69">
        <f>Tabla1[[#This Row],[Precio]]*Tabla1[[#This Row],[Entradas Vendidas]]</f>
        <v>0</v>
      </c>
    </row>
    <row r="70" spans="1:10" x14ac:dyDescent="0.3">
      <c r="A70" s="1"/>
      <c r="B70" t="s">
        <v>45</v>
      </c>
      <c r="C70">
        <v>71019057</v>
      </c>
      <c r="I70">
        <v>180</v>
      </c>
      <c r="J70">
        <f>Tabla1[[#This Row],[Precio]]*Tabla1[[#This Row],[Entradas Vendidas]]</f>
        <v>0</v>
      </c>
    </row>
    <row r="71" spans="1:10" x14ac:dyDescent="0.3">
      <c r="A71" s="1"/>
      <c r="B71" t="s">
        <v>46</v>
      </c>
      <c r="C71">
        <v>75619045</v>
      </c>
      <c r="I71">
        <v>180</v>
      </c>
      <c r="J71">
        <f>Tabla1[[#This Row],[Precio]]*Tabla1[[#This Row],[Entradas Vendidas]]</f>
        <v>0</v>
      </c>
    </row>
    <row r="72" spans="1:10" x14ac:dyDescent="0.3">
      <c r="A72" s="1"/>
      <c r="B72" t="s">
        <v>53</v>
      </c>
      <c r="C72">
        <v>78461543</v>
      </c>
      <c r="I72">
        <v>180</v>
      </c>
      <c r="J72">
        <f>Tabla1[[#This Row],[Precio]]*Tabla1[[#This Row],[Entradas Vendidas]]</f>
        <v>0</v>
      </c>
    </row>
    <row r="73" spans="1:10" x14ac:dyDescent="0.3">
      <c r="A73" s="1"/>
      <c r="B73" t="s">
        <v>62</v>
      </c>
      <c r="C73">
        <v>78514346</v>
      </c>
      <c r="I73">
        <v>180</v>
      </c>
      <c r="J73">
        <f>Tabla1[[#This Row],[Precio]]*Tabla1[[#This Row],[Entradas Vendidas]]</f>
        <v>0</v>
      </c>
    </row>
    <row r="74" spans="1:10" x14ac:dyDescent="0.3">
      <c r="A74" s="1"/>
      <c r="B74" t="s">
        <v>63</v>
      </c>
      <c r="C74">
        <v>77772099</v>
      </c>
      <c r="I74">
        <v>180</v>
      </c>
      <c r="J74">
        <f>Tabla1[[#This Row],[Precio]]*Tabla1[[#This Row],[Entradas Vendidas]]</f>
        <v>0</v>
      </c>
    </row>
    <row r="75" spans="1:10" x14ac:dyDescent="0.3">
      <c r="A75" s="1"/>
      <c r="B75" t="s">
        <v>64</v>
      </c>
      <c r="C75">
        <v>70063743</v>
      </c>
      <c r="I75">
        <v>180</v>
      </c>
      <c r="J75">
        <f>Tabla1[[#This Row],[Precio]]*Tabla1[[#This Row],[Entradas Vendidas]]</f>
        <v>0</v>
      </c>
    </row>
    <row r="76" spans="1:10" x14ac:dyDescent="0.3">
      <c r="A76" s="1"/>
      <c r="B76" t="s">
        <v>65</v>
      </c>
      <c r="C76">
        <v>61361734</v>
      </c>
      <c r="I76">
        <v>180</v>
      </c>
      <c r="J76">
        <f>Tabla1[[#This Row],[Precio]]*Tabla1[[#This Row],[Entradas Vendidas]]</f>
        <v>0</v>
      </c>
    </row>
    <row r="77" spans="1:10" x14ac:dyDescent="0.3">
      <c r="A77" s="1"/>
      <c r="B77" t="s">
        <v>66</v>
      </c>
      <c r="C77">
        <v>75496441</v>
      </c>
      <c r="D77" t="s">
        <v>19</v>
      </c>
      <c r="I77">
        <v>180</v>
      </c>
      <c r="J77">
        <f>Tabla1[[#This Row],[Precio]]*Tabla1[[#This Row],[Entradas Vendidas]]</f>
        <v>0</v>
      </c>
    </row>
    <row r="78" spans="1:10" x14ac:dyDescent="0.3">
      <c r="A78" s="1"/>
      <c r="B78" t="s">
        <v>25</v>
      </c>
      <c r="C78">
        <v>76010447</v>
      </c>
      <c r="D78" t="s">
        <v>79</v>
      </c>
      <c r="I78">
        <v>180</v>
      </c>
      <c r="J78">
        <f>Tabla1[[#This Row],[Precio]]*Tabla1[[#This Row],[Entradas Vendidas]]</f>
        <v>0</v>
      </c>
    </row>
    <row r="79" spans="1:10" x14ac:dyDescent="0.3">
      <c r="A79" s="1"/>
      <c r="B79" t="s">
        <v>68</v>
      </c>
      <c r="C79">
        <v>70055432</v>
      </c>
      <c r="I79">
        <v>180</v>
      </c>
      <c r="J79">
        <f>Tabla1[[#This Row],[Precio]]*Tabla1[[#This Row],[Entradas Vendidas]]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9EF-F755-4463-8C8D-11B029EDD1BA}">
  <sheetPr codeName="Hoja1"/>
  <dimension ref="A2:Q42"/>
  <sheetViews>
    <sheetView topLeftCell="B22" workbookViewId="0">
      <selection activeCell="C38" sqref="C38"/>
    </sheetView>
  </sheetViews>
  <sheetFormatPr baseColWidth="10" defaultRowHeight="14.4" x14ac:dyDescent="0.3"/>
  <cols>
    <col min="1" max="1" width="16.33203125" bestFit="1" customWidth="1"/>
    <col min="2" max="2" width="30.77734375" bestFit="1" customWidth="1"/>
    <col min="11" max="11" width="15.5546875" bestFit="1" customWidth="1"/>
    <col min="13" max="13" width="18.21875" bestFit="1" customWidth="1"/>
  </cols>
  <sheetData>
    <row r="2" spans="1:11" ht="19.8" thickBot="1" x14ac:dyDescent="0.35">
      <c r="A2" s="3" t="s">
        <v>98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</row>
    <row r="3" spans="1:11" ht="15" thickBot="1" x14ac:dyDescent="0.35">
      <c r="A3" s="5">
        <v>5.3010000051471501E+17</v>
      </c>
      <c r="B3" s="6" t="s">
        <v>108</v>
      </c>
      <c r="C3" s="6" t="s">
        <v>109</v>
      </c>
      <c r="D3" s="4">
        <v>78081607</v>
      </c>
      <c r="E3" s="4"/>
      <c r="F3" s="7">
        <v>46034.469305555554</v>
      </c>
      <c r="G3" s="4"/>
      <c r="H3" s="6" t="s">
        <v>110</v>
      </c>
      <c r="I3" s="7">
        <v>46034.470231481479</v>
      </c>
      <c r="J3" s="4" t="s">
        <v>111</v>
      </c>
      <c r="K3" s="4"/>
    </row>
    <row r="4" spans="1:11" ht="15" thickBot="1" x14ac:dyDescent="0.35">
      <c r="A4" s="9">
        <v>2.60100000514712E+17</v>
      </c>
      <c r="B4" s="10" t="s">
        <v>108</v>
      </c>
      <c r="C4" s="10" t="s">
        <v>109</v>
      </c>
      <c r="D4" s="8">
        <v>78112994</v>
      </c>
      <c r="E4" s="8"/>
      <c r="F4" s="11">
        <v>46034.469201388885</v>
      </c>
      <c r="G4" s="8"/>
      <c r="H4" s="10" t="s">
        <v>110</v>
      </c>
      <c r="I4" s="11">
        <v>46034.470173611109</v>
      </c>
      <c r="J4" s="8" t="s">
        <v>111</v>
      </c>
      <c r="K4" s="8"/>
    </row>
    <row r="5" spans="1:11" ht="15" thickBot="1" x14ac:dyDescent="0.35">
      <c r="A5" s="5">
        <v>6.01000005147112E+16</v>
      </c>
      <c r="B5" s="6" t="s">
        <v>108</v>
      </c>
      <c r="C5" s="6" t="s">
        <v>109</v>
      </c>
      <c r="D5" s="4">
        <v>78438929</v>
      </c>
      <c r="E5" s="4"/>
      <c r="F5" s="7">
        <v>46034.469155092593</v>
      </c>
      <c r="G5" s="4"/>
      <c r="H5" s="6" t="s">
        <v>110</v>
      </c>
      <c r="I5" s="7">
        <v>46034.47011574074</v>
      </c>
      <c r="J5" s="4" t="s">
        <v>111</v>
      </c>
      <c r="K5" s="4"/>
    </row>
    <row r="6" spans="1:11" ht="15" thickBot="1" x14ac:dyDescent="0.35">
      <c r="A6" s="9">
        <v>4.3010000051471302E+17</v>
      </c>
      <c r="B6" s="10" t="s">
        <v>108</v>
      </c>
      <c r="C6" s="10" t="s">
        <v>109</v>
      </c>
      <c r="D6" s="8">
        <v>62073392</v>
      </c>
      <c r="E6" s="8"/>
      <c r="F6" s="11">
        <v>46034.469039351854</v>
      </c>
      <c r="G6" s="8"/>
      <c r="H6" s="10" t="s">
        <v>110</v>
      </c>
      <c r="I6" s="11">
        <v>46034.469953703701</v>
      </c>
      <c r="J6" s="8" t="s">
        <v>111</v>
      </c>
      <c r="K6" s="8"/>
    </row>
    <row r="7" spans="1:11" ht="15" thickBot="1" x14ac:dyDescent="0.35">
      <c r="A7" s="5">
        <v>9.0010000051471002E+17</v>
      </c>
      <c r="B7" s="6" t="s">
        <v>108</v>
      </c>
      <c r="C7" s="6" t="s">
        <v>109</v>
      </c>
      <c r="D7" s="4">
        <v>78795192</v>
      </c>
      <c r="E7" s="4"/>
      <c r="F7" s="7">
        <v>46034.469085648147</v>
      </c>
      <c r="G7" s="4"/>
      <c r="H7" s="6" t="s">
        <v>110</v>
      </c>
      <c r="I7" s="7">
        <v>46034.469560185185</v>
      </c>
      <c r="J7" s="4" t="s">
        <v>111</v>
      </c>
      <c r="K7" s="4"/>
    </row>
    <row r="8" spans="1:11" ht="15" thickBot="1" x14ac:dyDescent="0.35">
      <c r="A8" s="9">
        <v>5.0100000514711104E+16</v>
      </c>
      <c r="B8" s="10" t="s">
        <v>108</v>
      </c>
      <c r="C8" s="10" t="s">
        <v>109</v>
      </c>
      <c r="D8" s="8">
        <v>76418597</v>
      </c>
      <c r="E8" s="8"/>
      <c r="F8" s="11">
        <v>46034.468761574077</v>
      </c>
      <c r="G8" s="8"/>
      <c r="H8" s="10" t="s">
        <v>110</v>
      </c>
      <c r="I8" s="11">
        <v>46034.469525462962</v>
      </c>
      <c r="J8" s="8" t="s">
        <v>111</v>
      </c>
      <c r="K8" s="8"/>
    </row>
    <row r="9" spans="1:11" ht="15" thickBot="1" x14ac:dyDescent="0.35">
      <c r="A9" s="5">
        <v>7.0010000051471398E+17</v>
      </c>
      <c r="B9" s="6" t="s">
        <v>108</v>
      </c>
      <c r="C9" s="6" t="s">
        <v>109</v>
      </c>
      <c r="D9" s="4">
        <v>75308364</v>
      </c>
      <c r="E9" s="4"/>
      <c r="F9" s="7">
        <v>46034.469039351854</v>
      </c>
      <c r="G9" s="4"/>
      <c r="H9" s="6" t="s">
        <v>110</v>
      </c>
      <c r="I9" s="7">
        <v>46034.46943287037</v>
      </c>
      <c r="J9" s="4" t="s">
        <v>111</v>
      </c>
      <c r="K9" s="4"/>
    </row>
    <row r="10" spans="1:11" ht="15" thickBot="1" x14ac:dyDescent="0.35">
      <c r="A10" s="9">
        <v>7.01000005147112E+16</v>
      </c>
      <c r="B10" s="10" t="s">
        <v>108</v>
      </c>
      <c r="C10" s="10" t="s">
        <v>109</v>
      </c>
      <c r="D10" s="8">
        <v>77811108</v>
      </c>
      <c r="E10" s="8"/>
      <c r="F10" s="11">
        <v>46034.469282407408</v>
      </c>
      <c r="G10" s="8"/>
      <c r="H10" s="10" t="s">
        <v>110</v>
      </c>
      <c r="I10" s="11">
        <v>46034.469386574077</v>
      </c>
      <c r="J10" s="8" t="s">
        <v>111</v>
      </c>
      <c r="K10" s="8"/>
    </row>
    <row r="11" spans="1:11" ht="15" thickBot="1" x14ac:dyDescent="0.35">
      <c r="A11" s="5">
        <v>7.9010000051470298E+17</v>
      </c>
      <c r="B11" s="6" t="s">
        <v>108</v>
      </c>
      <c r="C11" s="6" t="s">
        <v>109</v>
      </c>
      <c r="D11" s="4">
        <v>78949323</v>
      </c>
      <c r="E11" s="4"/>
      <c r="F11" s="7">
        <v>46034.469270833331</v>
      </c>
      <c r="G11" s="4"/>
      <c r="H11" s="6" t="s">
        <v>110</v>
      </c>
      <c r="I11" s="7">
        <v>46034.469386574077</v>
      </c>
      <c r="J11" s="4" t="s">
        <v>111</v>
      </c>
      <c r="K11" s="4"/>
    </row>
    <row r="12" spans="1:11" ht="15" thickBot="1" x14ac:dyDescent="0.35">
      <c r="A12" s="9">
        <v>5.2010000051471501E+17</v>
      </c>
      <c r="B12" s="10" t="s">
        <v>108</v>
      </c>
      <c r="C12" s="10" t="s">
        <v>109</v>
      </c>
      <c r="D12" s="8">
        <v>62672551</v>
      </c>
      <c r="E12" s="8"/>
      <c r="F12" s="11">
        <v>46034.469247685185</v>
      </c>
      <c r="G12" s="8"/>
      <c r="H12" s="10" t="s">
        <v>110</v>
      </c>
      <c r="I12" s="11">
        <v>46034.469351851854</v>
      </c>
      <c r="J12" s="8" t="s">
        <v>111</v>
      </c>
      <c r="K12" s="8"/>
    </row>
    <row r="13" spans="1:11" ht="15" thickBot="1" x14ac:dyDescent="0.35">
      <c r="A13" s="5">
        <v>8.1010000051470694E+17</v>
      </c>
      <c r="B13" s="6" t="s">
        <v>108</v>
      </c>
      <c r="C13" s="6" t="s">
        <v>109</v>
      </c>
      <c r="D13" s="4">
        <v>77949045</v>
      </c>
      <c r="E13" s="4"/>
      <c r="F13" s="7">
        <v>46034.469212962962</v>
      </c>
      <c r="G13" s="4"/>
      <c r="H13" s="6" t="s">
        <v>110</v>
      </c>
      <c r="I13" s="7">
        <v>46034.469328703701</v>
      </c>
      <c r="J13" s="4" t="s">
        <v>111</v>
      </c>
      <c r="K13" s="4"/>
    </row>
    <row r="14" spans="1:11" ht="15" thickBot="1" x14ac:dyDescent="0.35">
      <c r="A14" s="9">
        <v>4.2010000051471302E+17</v>
      </c>
      <c r="B14" s="10" t="s">
        <v>108</v>
      </c>
      <c r="C14" s="10" t="s">
        <v>109</v>
      </c>
      <c r="D14" s="8">
        <v>78336312</v>
      </c>
      <c r="E14" s="8"/>
      <c r="F14" s="11">
        <v>46034.468981481485</v>
      </c>
      <c r="G14" s="8"/>
      <c r="H14" s="10" t="s">
        <v>110</v>
      </c>
      <c r="I14" s="11">
        <v>46034.469305555554</v>
      </c>
      <c r="J14" s="8" t="s">
        <v>111</v>
      </c>
      <c r="K14" s="8"/>
    </row>
    <row r="15" spans="1:11" ht="15" thickBot="1" x14ac:dyDescent="0.35">
      <c r="A15" s="5">
        <v>4.4010000051471302E+17</v>
      </c>
      <c r="B15" s="6" t="s">
        <v>108</v>
      </c>
      <c r="C15" s="6" t="s">
        <v>109</v>
      </c>
      <c r="D15" s="4">
        <v>78572354</v>
      </c>
      <c r="E15" s="4"/>
      <c r="F15" s="7">
        <v>46034.469143518516</v>
      </c>
      <c r="G15" s="4"/>
      <c r="H15" s="6" t="s">
        <v>110</v>
      </c>
      <c r="I15" s="7">
        <v>46034.469293981485</v>
      </c>
      <c r="J15" s="4" t="s">
        <v>111</v>
      </c>
      <c r="K15" s="4"/>
    </row>
    <row r="16" spans="1:11" ht="15" thickBot="1" x14ac:dyDescent="0.35">
      <c r="A16" s="9">
        <v>7.8010000051470298E+17</v>
      </c>
      <c r="B16" s="10" t="s">
        <v>108</v>
      </c>
      <c r="C16" s="10" t="s">
        <v>109</v>
      </c>
      <c r="D16" s="8">
        <v>78072048</v>
      </c>
      <c r="E16" s="8"/>
      <c r="F16" s="11">
        <v>46034.469131944446</v>
      </c>
      <c r="G16" s="8"/>
      <c r="H16" s="10" t="s">
        <v>110</v>
      </c>
      <c r="I16" s="11">
        <v>46034.469224537039</v>
      </c>
      <c r="J16" s="8" t="s">
        <v>111</v>
      </c>
      <c r="K16" s="8"/>
    </row>
    <row r="17" spans="1:11" ht="15" thickBot="1" x14ac:dyDescent="0.35">
      <c r="A17" s="5">
        <v>2.50100000514712E+17</v>
      </c>
      <c r="B17" s="6" t="s">
        <v>108</v>
      </c>
      <c r="C17" s="6" t="s">
        <v>109</v>
      </c>
      <c r="D17" s="4">
        <v>62078972</v>
      </c>
      <c r="E17" s="4"/>
      <c r="F17" s="7">
        <v>46034.46912037037</v>
      </c>
      <c r="G17" s="4"/>
      <c r="H17" s="6" t="s">
        <v>110</v>
      </c>
      <c r="I17" s="7">
        <v>46034.469201388885</v>
      </c>
      <c r="J17" s="4" t="s">
        <v>111</v>
      </c>
      <c r="K17" s="4"/>
    </row>
    <row r="18" spans="1:11" ht="15" thickBot="1" x14ac:dyDescent="0.35">
      <c r="A18" s="9">
        <v>7.1010000051471398E+17</v>
      </c>
      <c r="B18" s="10" t="s">
        <v>108</v>
      </c>
      <c r="C18" s="10" t="s">
        <v>109</v>
      </c>
      <c r="D18" s="8">
        <v>78353726</v>
      </c>
      <c r="E18" s="8"/>
      <c r="F18" s="11">
        <v>46034.469050925924</v>
      </c>
      <c r="G18" s="8"/>
      <c r="H18" s="10" t="s">
        <v>110</v>
      </c>
      <c r="I18" s="11">
        <v>46034.469155092593</v>
      </c>
      <c r="J18" s="8" t="s">
        <v>111</v>
      </c>
      <c r="K18" s="8"/>
    </row>
    <row r="19" spans="1:11" ht="15" thickBot="1" x14ac:dyDescent="0.35">
      <c r="A19" s="5">
        <v>4.0100000514711104E+16</v>
      </c>
      <c r="B19" s="6" t="s">
        <v>108</v>
      </c>
      <c r="C19" s="6" t="s">
        <v>109</v>
      </c>
      <c r="D19" s="4">
        <v>76975012</v>
      </c>
      <c r="E19" s="4"/>
      <c r="F19" s="7">
        <v>46034.468518518515</v>
      </c>
      <c r="G19" s="4"/>
      <c r="H19" s="6" t="s">
        <v>110</v>
      </c>
      <c r="I19" s="7">
        <v>46034.469143518516</v>
      </c>
      <c r="J19" s="4" t="s">
        <v>111</v>
      </c>
      <c r="K19" s="4"/>
    </row>
    <row r="20" spans="1:11" ht="15" thickBot="1" x14ac:dyDescent="0.35">
      <c r="A20" s="9">
        <v>8.0010000051470694E+17</v>
      </c>
      <c r="B20" s="10" t="s">
        <v>108</v>
      </c>
      <c r="C20" s="10" t="s">
        <v>109</v>
      </c>
      <c r="D20" s="8">
        <v>62021665</v>
      </c>
      <c r="E20" s="8"/>
      <c r="F20" s="11">
        <v>46034.469050925924</v>
      </c>
      <c r="G20" s="8"/>
      <c r="H20" s="10" t="s">
        <v>110</v>
      </c>
      <c r="I20" s="11">
        <v>46034.469131944446</v>
      </c>
      <c r="J20" s="8" t="s">
        <v>111</v>
      </c>
      <c r="K20" s="8"/>
    </row>
    <row r="21" spans="1:11" ht="15" thickBot="1" x14ac:dyDescent="0.35">
      <c r="A21" s="5">
        <v>6.1010000051470797E+17</v>
      </c>
      <c r="B21" s="6" t="s">
        <v>108</v>
      </c>
      <c r="C21" s="6" t="s">
        <v>109</v>
      </c>
      <c r="D21" s="4">
        <v>75449250</v>
      </c>
      <c r="E21" s="4"/>
      <c r="F21" s="7">
        <v>46034.4690162037</v>
      </c>
      <c r="G21" s="4"/>
      <c r="H21" s="6" t="s">
        <v>110</v>
      </c>
      <c r="I21" s="7">
        <v>46034.469097222223</v>
      </c>
      <c r="J21" s="4" t="s">
        <v>111</v>
      </c>
      <c r="K21" s="4"/>
    </row>
    <row r="22" spans="1:11" ht="15" thickBot="1" x14ac:dyDescent="0.35">
      <c r="A22" s="9">
        <v>3.1010000051470899E+17</v>
      </c>
      <c r="B22" s="10" t="s">
        <v>108</v>
      </c>
      <c r="C22" s="10" t="s">
        <v>109</v>
      </c>
      <c r="D22" s="8">
        <v>62643468</v>
      </c>
      <c r="E22" s="8"/>
      <c r="F22" s="11">
        <v>46034.468993055554</v>
      </c>
      <c r="G22" s="8"/>
      <c r="H22" s="10" t="s">
        <v>110</v>
      </c>
      <c r="I22" s="11">
        <v>46034.469085648147</v>
      </c>
      <c r="J22" s="8" t="s">
        <v>111</v>
      </c>
      <c r="K22" s="8"/>
    </row>
    <row r="23" spans="1:11" ht="15" thickBot="1" x14ac:dyDescent="0.35">
      <c r="A23" s="5">
        <v>4.9010000051470701E+17</v>
      </c>
      <c r="B23" s="6" t="s">
        <v>108</v>
      </c>
      <c r="C23" s="6" t="s">
        <v>109</v>
      </c>
      <c r="D23" s="4">
        <v>76968724</v>
      </c>
      <c r="E23" s="4"/>
      <c r="F23" s="7">
        <v>46034.468715277777</v>
      </c>
      <c r="G23" s="4"/>
      <c r="H23" s="6" t="s">
        <v>110</v>
      </c>
      <c r="I23" s="7">
        <v>46034.469085648147</v>
      </c>
      <c r="J23" s="4" t="s">
        <v>111</v>
      </c>
      <c r="K23" s="4"/>
    </row>
    <row r="24" spans="1:11" ht="15" thickBot="1" x14ac:dyDescent="0.35">
      <c r="A24" s="9">
        <v>3.01000005147111E+16</v>
      </c>
      <c r="B24" s="10" t="s">
        <v>108</v>
      </c>
      <c r="C24" s="10" t="s">
        <v>109</v>
      </c>
      <c r="D24" s="8">
        <v>78926593</v>
      </c>
      <c r="E24" s="8"/>
      <c r="F24" s="11">
        <v>46034.468113425923</v>
      </c>
      <c r="G24" s="8"/>
      <c r="H24" s="10" t="s">
        <v>110</v>
      </c>
      <c r="I24" s="11">
        <v>46034.469085648147</v>
      </c>
      <c r="J24" s="8" t="s">
        <v>111</v>
      </c>
      <c r="K24" s="8"/>
    </row>
    <row r="25" spans="1:11" ht="15" thickBot="1" x14ac:dyDescent="0.35">
      <c r="A25" s="5">
        <v>5.1010000051470202E+17</v>
      </c>
      <c r="B25" s="6" t="s">
        <v>108</v>
      </c>
      <c r="C25" s="6" t="s">
        <v>109</v>
      </c>
      <c r="D25" s="4">
        <v>77686476</v>
      </c>
      <c r="E25" s="4"/>
      <c r="F25" s="7">
        <v>46034.468981481485</v>
      </c>
      <c r="G25" s="4"/>
      <c r="H25" s="6" t="s">
        <v>110</v>
      </c>
      <c r="I25" s="7">
        <v>46034.4690625</v>
      </c>
      <c r="J25" s="4" t="s">
        <v>111</v>
      </c>
      <c r="K25" s="4"/>
    </row>
    <row r="26" spans="1:11" ht="15" thickBot="1" x14ac:dyDescent="0.35">
      <c r="A26" s="9">
        <v>2.40100000514712E+17</v>
      </c>
      <c r="B26" s="10" t="s">
        <v>108</v>
      </c>
      <c r="C26" s="10" t="s">
        <v>109</v>
      </c>
      <c r="D26" s="8">
        <v>75799929</v>
      </c>
      <c r="E26" s="8"/>
      <c r="F26" s="11">
        <v>46034.468923611108</v>
      </c>
      <c r="G26" s="8"/>
      <c r="H26" s="10" t="s">
        <v>110</v>
      </c>
      <c r="I26" s="11">
        <v>46034.469027777777</v>
      </c>
      <c r="J26" s="8" t="s">
        <v>111</v>
      </c>
      <c r="K26" s="8"/>
    </row>
    <row r="27" spans="1:11" ht="15" thickBot="1" x14ac:dyDescent="0.35">
      <c r="A27" s="5">
        <v>6.0010000051470797E+17</v>
      </c>
      <c r="B27" s="6" t="s">
        <v>108</v>
      </c>
      <c r="C27" s="6" t="s">
        <v>109</v>
      </c>
      <c r="D27" s="4">
        <v>62044145</v>
      </c>
      <c r="E27" s="4"/>
      <c r="F27" s="7">
        <v>46034.468912037039</v>
      </c>
      <c r="G27" s="4"/>
      <c r="H27" s="6" t="s">
        <v>110</v>
      </c>
      <c r="I27" s="7">
        <v>46034.469004629631</v>
      </c>
      <c r="J27" s="4" t="s">
        <v>111</v>
      </c>
      <c r="K27" s="4"/>
    </row>
    <row r="28" spans="1:11" ht="15" thickBot="1" x14ac:dyDescent="0.35">
      <c r="A28" s="9">
        <v>2.9010000051471002E+17</v>
      </c>
      <c r="B28" s="10" t="s">
        <v>108</v>
      </c>
      <c r="C28" s="10" t="s">
        <v>109</v>
      </c>
      <c r="D28" s="8">
        <v>62098408</v>
      </c>
      <c r="E28" s="8"/>
      <c r="F28" s="11">
        <v>46034.468912037039</v>
      </c>
      <c r="G28" s="8"/>
      <c r="H28" s="10" t="s">
        <v>110</v>
      </c>
      <c r="I28" s="11">
        <v>46034.468993055554</v>
      </c>
      <c r="J28" s="8" t="s">
        <v>111</v>
      </c>
      <c r="K28" s="8"/>
    </row>
    <row r="29" spans="1:11" ht="15" thickBot="1" x14ac:dyDescent="0.35">
      <c r="A29" s="5">
        <v>8.8010000051471398E+17</v>
      </c>
      <c r="B29" s="6" t="s">
        <v>108</v>
      </c>
      <c r="C29" s="6" t="s">
        <v>109</v>
      </c>
      <c r="D29" s="4">
        <v>74475958</v>
      </c>
      <c r="E29" s="4"/>
      <c r="F29" s="7">
        <v>46034.468333333331</v>
      </c>
      <c r="G29" s="4"/>
      <c r="H29" s="6" t="s">
        <v>110</v>
      </c>
      <c r="I29" s="7">
        <v>46034.468738425923</v>
      </c>
      <c r="J29" s="4" t="s">
        <v>111</v>
      </c>
      <c r="K29" s="4"/>
    </row>
    <row r="30" spans="1:11" ht="15" thickBot="1" x14ac:dyDescent="0.35">
      <c r="A30" s="9">
        <v>4.0010000051471302E+17</v>
      </c>
      <c r="B30" s="10" t="s">
        <v>108</v>
      </c>
      <c r="C30" s="10" t="s">
        <v>109</v>
      </c>
      <c r="D30" s="8">
        <v>77435872</v>
      </c>
      <c r="E30" s="8"/>
      <c r="F30" s="11">
        <v>46034.468229166669</v>
      </c>
      <c r="G30" s="8"/>
      <c r="H30" s="10" t="s">
        <v>110</v>
      </c>
      <c r="I30" s="11">
        <v>46034.468622685185</v>
      </c>
      <c r="J30" s="8" t="s">
        <v>111</v>
      </c>
      <c r="K30" s="8"/>
    </row>
    <row r="31" spans="1:11" ht="15" thickBot="1" x14ac:dyDescent="0.35">
      <c r="A31" s="5">
        <v>5.0010000051470202E+17</v>
      </c>
      <c r="B31" s="6" t="s">
        <v>108</v>
      </c>
      <c r="C31" s="6" t="s">
        <v>109</v>
      </c>
      <c r="D31" s="4">
        <v>77359181</v>
      </c>
      <c r="E31" s="4"/>
      <c r="F31" s="7">
        <v>46034.468506944446</v>
      </c>
      <c r="G31" s="4"/>
      <c r="H31" s="6" t="s">
        <v>110</v>
      </c>
      <c r="I31" s="7">
        <v>46034.468576388892</v>
      </c>
      <c r="J31" s="4" t="s">
        <v>111</v>
      </c>
      <c r="K31" s="4"/>
    </row>
    <row r="32" spans="1:11" ht="15" thickBot="1" x14ac:dyDescent="0.35">
      <c r="A32" s="9">
        <v>7.6010000051470298E+17</v>
      </c>
      <c r="B32" s="10" t="s">
        <v>108</v>
      </c>
      <c r="C32" s="10" t="s">
        <v>109</v>
      </c>
      <c r="D32" s="8">
        <v>76827421</v>
      </c>
      <c r="E32" s="8"/>
      <c r="F32" s="11">
        <v>46034.468287037038</v>
      </c>
      <c r="G32" s="8"/>
      <c r="H32" s="10" t="s">
        <v>110</v>
      </c>
      <c r="I32" s="11">
        <v>46034.468553240738</v>
      </c>
      <c r="J32" s="8" t="s">
        <v>111</v>
      </c>
      <c r="K32" s="8"/>
    </row>
    <row r="33" spans="1:17" ht="15" thickBot="1" x14ac:dyDescent="0.35">
      <c r="A33" s="5">
        <v>4.1010000051471302E+17</v>
      </c>
      <c r="B33" s="6" t="s">
        <v>108</v>
      </c>
      <c r="C33" s="6" t="s">
        <v>109</v>
      </c>
      <c r="D33" s="4">
        <v>77117528</v>
      </c>
      <c r="E33" s="4"/>
      <c r="F33" s="7">
        <v>46034.4684375</v>
      </c>
      <c r="G33" s="4"/>
      <c r="H33" s="6" t="s">
        <v>110</v>
      </c>
      <c r="I33" s="7">
        <v>46034.468541666669</v>
      </c>
      <c r="J33" s="4" t="s">
        <v>111</v>
      </c>
      <c r="K33" s="4"/>
    </row>
    <row r="34" spans="1:17" ht="15" thickBot="1" x14ac:dyDescent="0.35">
      <c r="A34" s="9">
        <v>2.30100000514712E+17</v>
      </c>
      <c r="B34" s="10" t="s">
        <v>108</v>
      </c>
      <c r="C34" s="10" t="s">
        <v>109</v>
      </c>
      <c r="D34" s="8">
        <v>78629213</v>
      </c>
      <c r="E34" s="8"/>
      <c r="F34" s="11">
        <v>46034.468402777777</v>
      </c>
      <c r="G34" s="8"/>
      <c r="H34" s="10" t="s">
        <v>110</v>
      </c>
      <c r="I34" s="11">
        <v>46034.4684837963</v>
      </c>
      <c r="J34" s="8" t="s">
        <v>111</v>
      </c>
      <c r="K34" s="12" t="s">
        <v>143</v>
      </c>
      <c r="L34" s="2" t="s">
        <v>144</v>
      </c>
    </row>
    <row r="35" spans="1:17" ht="21" thickBot="1" x14ac:dyDescent="0.35">
      <c r="A35" s="5">
        <v>7.7010000051470298E+17</v>
      </c>
      <c r="B35" s="6" t="s">
        <v>108</v>
      </c>
      <c r="C35" s="6" t="s">
        <v>109</v>
      </c>
      <c r="D35" s="4">
        <v>78208970</v>
      </c>
      <c r="E35" s="4"/>
      <c r="F35" s="7">
        <v>46034.468402777777</v>
      </c>
      <c r="G35" s="4"/>
      <c r="H35" s="6" t="s">
        <v>110</v>
      </c>
      <c r="I35" s="7">
        <v>46034.468472222223</v>
      </c>
      <c r="J35" s="4" t="s">
        <v>111</v>
      </c>
      <c r="K35" s="14" t="s">
        <v>139</v>
      </c>
      <c r="L35" s="15" t="s">
        <v>140</v>
      </c>
      <c r="M35" s="15" t="s">
        <v>141</v>
      </c>
      <c r="N35" s="16" t="s">
        <v>142</v>
      </c>
      <c r="O35" s="16" t="s">
        <v>128</v>
      </c>
      <c r="P35" s="16" t="s">
        <v>129</v>
      </c>
      <c r="Q35" s="16">
        <v>65650</v>
      </c>
    </row>
    <row r="36" spans="1:17" ht="21" thickBot="1" x14ac:dyDescent="0.35">
      <c r="A36" s="9">
        <v>2.8010000051471002E+17</v>
      </c>
      <c r="B36" s="10" t="s">
        <v>108</v>
      </c>
      <c r="C36" s="10" t="s">
        <v>109</v>
      </c>
      <c r="D36" s="8">
        <v>77814669</v>
      </c>
      <c r="E36" s="8"/>
      <c r="F36" s="11">
        <v>46034.468344907407</v>
      </c>
      <c r="G36" s="8"/>
      <c r="H36" s="10" t="s">
        <v>110</v>
      </c>
      <c r="I36" s="11">
        <v>46034.468425925923</v>
      </c>
      <c r="J36" s="8" t="s">
        <v>111</v>
      </c>
      <c r="K36" s="12" t="s">
        <v>135</v>
      </c>
      <c r="L36" s="12" t="s">
        <v>136</v>
      </c>
      <c r="M36" s="2" t="s">
        <v>133</v>
      </c>
      <c r="N36" s="16" t="s">
        <v>137</v>
      </c>
      <c r="O36" s="16" t="s">
        <v>138</v>
      </c>
      <c r="P36" s="16" t="s">
        <v>129</v>
      </c>
      <c r="Q36" s="16">
        <v>52805</v>
      </c>
    </row>
    <row r="37" spans="1:17" ht="21" thickBot="1" x14ac:dyDescent="0.35">
      <c r="A37" s="5">
        <v>8.9010000051471398E+17</v>
      </c>
      <c r="B37" s="6" t="s">
        <v>108</v>
      </c>
      <c r="C37" s="6" t="s">
        <v>109</v>
      </c>
      <c r="D37" s="4">
        <v>75572368</v>
      </c>
      <c r="E37" s="4"/>
      <c r="F37" s="7">
        <v>46034.468344907407</v>
      </c>
      <c r="G37" s="4"/>
      <c r="H37" s="6" t="s">
        <v>110</v>
      </c>
      <c r="I37" s="7">
        <v>46034.468425925923</v>
      </c>
      <c r="J37" s="4" t="s">
        <v>111</v>
      </c>
      <c r="K37" s="14" t="s">
        <v>131</v>
      </c>
      <c r="L37" s="15" t="s">
        <v>132</v>
      </c>
      <c r="M37" s="15" t="s">
        <v>133</v>
      </c>
      <c r="N37" s="16" t="s">
        <v>134</v>
      </c>
      <c r="O37" s="16" t="s">
        <v>128</v>
      </c>
      <c r="P37" s="16" t="s">
        <v>129</v>
      </c>
      <c r="Q37" s="16">
        <v>65650</v>
      </c>
    </row>
    <row r="38" spans="1:17" ht="21" thickBot="1" x14ac:dyDescent="0.35">
      <c r="A38" s="9">
        <v>8.7010000051471398E+17</v>
      </c>
      <c r="B38" s="10" t="s">
        <v>108</v>
      </c>
      <c r="C38" s="10" t="s">
        <v>109</v>
      </c>
      <c r="D38" s="8">
        <v>75426905</v>
      </c>
      <c r="E38" s="8"/>
      <c r="F38" s="11">
        <v>46034.468298611115</v>
      </c>
      <c r="G38" s="8"/>
      <c r="H38" s="10" t="s">
        <v>110</v>
      </c>
      <c r="I38" s="11">
        <v>46034.468391203707</v>
      </c>
      <c r="J38" s="8" t="s">
        <v>111</v>
      </c>
      <c r="K38" s="14" t="s">
        <v>124</v>
      </c>
      <c r="L38" s="15" t="s">
        <v>125</v>
      </c>
      <c r="M38" s="15" t="s">
        <v>126</v>
      </c>
      <c r="N38" s="16" t="s">
        <v>127</v>
      </c>
      <c r="O38" s="16" t="s">
        <v>128</v>
      </c>
      <c r="P38" s="16" t="s">
        <v>129</v>
      </c>
      <c r="Q38" s="16">
        <v>65650</v>
      </c>
    </row>
    <row r="39" spans="1:17" ht="15" thickBot="1" x14ac:dyDescent="0.35">
      <c r="A39" s="5">
        <v>6.9010000051470195E+17</v>
      </c>
      <c r="B39" s="6" t="s">
        <v>108</v>
      </c>
      <c r="C39" s="6" t="s">
        <v>109</v>
      </c>
      <c r="D39" s="4">
        <v>76805919</v>
      </c>
      <c r="E39" s="4"/>
      <c r="F39" s="7">
        <v>46034.468240740738</v>
      </c>
      <c r="G39" s="4"/>
      <c r="H39" s="6" t="s">
        <v>110</v>
      </c>
      <c r="I39" s="7">
        <v>46034.468310185184</v>
      </c>
      <c r="J39" s="4" t="s">
        <v>111</v>
      </c>
      <c r="K39" s="13" t="s">
        <v>121</v>
      </c>
      <c r="L39" s="2" t="s">
        <v>122</v>
      </c>
      <c r="M39" s="2" t="s">
        <v>123</v>
      </c>
    </row>
    <row r="40" spans="1:17" ht="15" thickBot="1" x14ac:dyDescent="0.35">
      <c r="A40" s="9">
        <v>3.0010000051470899E+17</v>
      </c>
      <c r="B40" s="10" t="s">
        <v>108</v>
      </c>
      <c r="C40" s="10" t="s">
        <v>109</v>
      </c>
      <c r="D40" s="8">
        <v>75383145</v>
      </c>
      <c r="E40" s="8"/>
      <c r="F40" s="11">
        <v>46034.468148148146</v>
      </c>
      <c r="G40" s="8"/>
      <c r="H40" s="10" t="s">
        <v>110</v>
      </c>
      <c r="I40" s="11">
        <v>46034.468229166669</v>
      </c>
      <c r="J40" s="8" t="s">
        <v>111</v>
      </c>
      <c r="K40" s="12" t="s">
        <v>118</v>
      </c>
      <c r="L40" s="2" t="s">
        <v>119</v>
      </c>
      <c r="M40" s="2" t="s">
        <v>120</v>
      </c>
    </row>
    <row r="41" spans="1:17" ht="15" thickBot="1" x14ac:dyDescent="0.35">
      <c r="A41" s="5">
        <v>6.8010000051470195E+17</v>
      </c>
      <c r="B41" s="6" t="s">
        <v>108</v>
      </c>
      <c r="C41" s="6" t="s">
        <v>109</v>
      </c>
      <c r="D41" s="4">
        <v>62799251</v>
      </c>
      <c r="E41" s="4"/>
      <c r="F41" s="7">
        <v>46034.468113425923</v>
      </c>
      <c r="G41" s="4"/>
      <c r="H41" s="6" t="s">
        <v>110</v>
      </c>
      <c r="I41" s="7">
        <v>46034.468206018515</v>
      </c>
      <c r="J41" s="4" t="s">
        <v>111</v>
      </c>
      <c r="K41" s="13" t="s">
        <v>115</v>
      </c>
      <c r="L41" s="2" t="s">
        <v>116</v>
      </c>
      <c r="M41" s="2" t="s">
        <v>117</v>
      </c>
    </row>
    <row r="42" spans="1:17" ht="21" thickBot="1" x14ac:dyDescent="0.35">
      <c r="A42" s="9">
        <v>2.01000005147111E+16</v>
      </c>
      <c r="B42" s="10" t="s">
        <v>108</v>
      </c>
      <c r="C42" s="10" t="s">
        <v>109</v>
      </c>
      <c r="D42" s="8">
        <v>62310436</v>
      </c>
      <c r="E42" s="8"/>
      <c r="F42" s="11">
        <v>46034.468055555553</v>
      </c>
      <c r="G42" s="8"/>
      <c r="H42" s="10" t="s">
        <v>110</v>
      </c>
      <c r="I42" s="11">
        <v>46034.468148148146</v>
      </c>
      <c r="J42" s="8" t="s">
        <v>111</v>
      </c>
      <c r="K42" s="14" t="s">
        <v>112</v>
      </c>
      <c r="L42" s="15" t="s">
        <v>113</v>
      </c>
      <c r="M42" s="15" t="s">
        <v>114</v>
      </c>
      <c r="N42" s="16" t="s">
        <v>130</v>
      </c>
      <c r="O42" s="16" t="s">
        <v>128</v>
      </c>
      <c r="P42" s="16" t="s">
        <v>129</v>
      </c>
      <c r="Q42" s="16">
        <v>65650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Funnel Ventas Show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Ayrton Argani Quisbert</cp:lastModifiedBy>
  <dcterms:created xsi:type="dcterms:W3CDTF">2026-01-09T21:08:07Z</dcterms:created>
  <dcterms:modified xsi:type="dcterms:W3CDTF">2026-01-14T21:10:37Z</dcterms:modified>
</cp:coreProperties>
</file>